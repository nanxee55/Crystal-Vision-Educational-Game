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Box\Nanzeeba Tabassum\Manuscripts\Manuscript 1\Crystal Vision Manuscript Final\"/>
    </mc:Choice>
  </mc:AlternateContent>
  <xr:revisionPtr revIDLastSave="0" documentId="13_ncr:1_{18A2B651-28DD-441E-B702-C1C8682C8C62}" xr6:coauthVersionLast="45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Summary" sheetId="1" r:id="rId1"/>
    <sheet name="Survey Questions" sheetId="5" r:id="rId2"/>
    <sheet name="Written Feedback" sheetId="8" r:id="rId3"/>
    <sheet name="Game Score" sheetId="9" r:id="rId4"/>
    <sheet name="Paper Quiz" sheetId="1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7" l="1"/>
  <c r="L12" i="17"/>
  <c r="L11" i="17"/>
  <c r="L10" i="17"/>
  <c r="K13" i="17"/>
  <c r="K12" i="17"/>
  <c r="K11" i="17"/>
  <c r="K10" i="17"/>
  <c r="D87" i="1" l="1"/>
  <c r="E87" i="1"/>
  <c r="F87" i="1"/>
  <c r="C87" i="1"/>
  <c r="D74" i="1"/>
  <c r="E74" i="1"/>
  <c r="F74" i="1"/>
  <c r="G74" i="1"/>
  <c r="H74" i="1"/>
  <c r="C74" i="1"/>
  <c r="C75" i="9" l="1"/>
  <c r="D75" i="9"/>
  <c r="E75" i="9"/>
  <c r="F75" i="9"/>
  <c r="G75" i="9"/>
  <c r="H75" i="9"/>
  <c r="I75" i="9"/>
  <c r="C74" i="9"/>
  <c r="D74" i="9"/>
  <c r="E74" i="9"/>
  <c r="F74" i="9"/>
  <c r="G74" i="9"/>
  <c r="H74" i="9"/>
  <c r="I74" i="9"/>
  <c r="B75" i="9"/>
  <c r="B74" i="9"/>
  <c r="C90" i="17" l="1"/>
  <c r="D90" i="17"/>
  <c r="E90" i="17"/>
  <c r="C89" i="17"/>
  <c r="D89" i="17"/>
  <c r="E89" i="17"/>
  <c r="B90" i="17"/>
  <c r="B89" i="17"/>
  <c r="C75" i="17"/>
  <c r="D75" i="17"/>
  <c r="E75" i="17"/>
  <c r="C74" i="17"/>
  <c r="D74" i="17"/>
  <c r="E74" i="17"/>
  <c r="B75" i="17"/>
  <c r="B74" i="17"/>
  <c r="Q30" i="5"/>
  <c r="P30" i="5"/>
  <c r="O30" i="5"/>
  <c r="N30" i="5"/>
  <c r="Q29" i="5"/>
  <c r="P29" i="5"/>
  <c r="O29" i="5"/>
  <c r="N29" i="5"/>
  <c r="M29" i="5"/>
  <c r="Q28" i="5"/>
  <c r="P28" i="5"/>
  <c r="O28" i="5"/>
  <c r="N28" i="5"/>
  <c r="Q27" i="5"/>
  <c r="P27" i="5"/>
  <c r="O27" i="5"/>
  <c r="N27" i="5"/>
  <c r="M27" i="5"/>
  <c r="Q26" i="5"/>
  <c r="P26" i="5"/>
  <c r="O26" i="5"/>
  <c r="N26" i="5"/>
  <c r="Q25" i="5"/>
  <c r="P25" i="5"/>
  <c r="O25" i="5"/>
  <c r="N25" i="5"/>
  <c r="Q24" i="5"/>
  <c r="P24" i="5"/>
  <c r="O24" i="5"/>
  <c r="N24" i="5"/>
  <c r="M24" i="5"/>
  <c r="Q23" i="5"/>
  <c r="P23" i="5"/>
  <c r="O23" i="5"/>
  <c r="N23" i="5"/>
  <c r="M23" i="5"/>
  <c r="M30" i="5"/>
  <c r="M28" i="5"/>
  <c r="M26" i="5"/>
  <c r="M25" i="5"/>
  <c r="J3" i="5"/>
  <c r="J4" i="5"/>
  <c r="J5" i="5"/>
  <c r="J6" i="5"/>
  <c r="J7" i="5"/>
  <c r="J8" i="5"/>
  <c r="J10" i="5"/>
  <c r="J11" i="5"/>
  <c r="J12" i="5"/>
  <c r="J13" i="5"/>
  <c r="J14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2" i="5"/>
  <c r="L23" i="17" l="1"/>
  <c r="K23" i="17"/>
  <c r="L22" i="17"/>
  <c r="K22" i="17"/>
  <c r="L21" i="17"/>
  <c r="K21" i="17"/>
  <c r="L20" i="17"/>
  <c r="K20" i="17"/>
  <c r="C75" i="5" l="1"/>
  <c r="D75" i="5"/>
  <c r="E75" i="5"/>
  <c r="F75" i="5"/>
  <c r="G75" i="5"/>
  <c r="H75" i="5"/>
  <c r="I75" i="5"/>
  <c r="B75" i="5"/>
  <c r="C74" i="5"/>
  <c r="D74" i="5"/>
  <c r="E74" i="5"/>
  <c r="F74" i="5"/>
  <c r="G74" i="5"/>
  <c r="H74" i="5"/>
  <c r="I74" i="5"/>
  <c r="B74" i="5"/>
  <c r="J74" i="5" l="1"/>
  <c r="J75" i="5"/>
</calcChain>
</file>

<file path=xl/sharedStrings.xml><?xml version="1.0" encoding="utf-8"?>
<sst xmlns="http://schemas.openxmlformats.org/spreadsheetml/2006/main" count="699" uniqueCount="234">
  <si>
    <t xml:space="preserve"> </t>
  </si>
  <si>
    <t>Great</t>
  </si>
  <si>
    <t>The cubes were annoying</t>
  </si>
  <si>
    <t>Good game like minecraft</t>
  </si>
  <si>
    <t>The game has assigned me to understand crystallography better, increase number of examples is suggested</t>
  </si>
  <si>
    <t>Couldn’t find the road always. Some glitch choosing the objects</t>
  </si>
  <si>
    <t>It is simple to play the game which helps me review the crystallography. Very good experience</t>
  </si>
  <si>
    <t>The game is good but game plot can improve more</t>
  </si>
  <si>
    <t>I could understand the concept but the game quality was not good</t>
  </si>
  <si>
    <t>Question texts were hard to read, should be more clear</t>
  </si>
  <si>
    <t>Good game. Got a little headache as I get it from 3D games always</t>
  </si>
  <si>
    <t>I got motion sick and lost</t>
  </si>
  <si>
    <t>Jump sound and the planes annoyed me. Other than that no issues</t>
  </si>
  <si>
    <t>Great start, might need more guidance for the players</t>
  </si>
  <si>
    <t>Make the cubes not move too much, There are buss on the quiz, Add more features for zombies</t>
  </si>
  <si>
    <t>Fun, zombies were not necessary in my opinion. Could add more interactions</t>
  </si>
  <si>
    <t>Love it</t>
  </si>
  <si>
    <t>I think the advantages of the game such as the interaction really helps me understand the basic knowledge of course</t>
  </si>
  <si>
    <t>Excellent! Good! Unforgettable!</t>
  </si>
  <si>
    <t>The game was easy to understand. Good refresher for the beginning portion of the class</t>
  </si>
  <si>
    <t>The game was dizzy, use of AI is bad and takes job away</t>
  </si>
  <si>
    <t>Nice Job.I lost some points unexpectedly</t>
  </si>
  <si>
    <t>This gaem contains a lot of useful knowledge and let me play for learning</t>
  </si>
  <si>
    <t>Many topic of CEE 300 are covered in the game. It is a good way to review what I learned in the semester</t>
  </si>
  <si>
    <t>I think in all, it is a good practice. It is not interesting, you can add more interesting things in the game.</t>
  </si>
  <si>
    <t>Dizzy</t>
  </si>
  <si>
    <t>I thoroughly enjoyed being able to playfully learn/practice learning materials. I think some explanations would help. Loved the game, would play for recreation for sure, awesome experience.</t>
  </si>
  <si>
    <t>Game conveys concept well, More could be put into showing forcus their attention and how points are calculated. I wanted to maximize score and it was a unclear for me that I lost points for getting answers wrong. Kept looking for zombies the entire map to maximize score.</t>
  </si>
  <si>
    <t>Good, Accidentally fell off the map so may be make barriers. Game instructions were not clear in the beginning</t>
  </si>
  <si>
    <t>It was a good way to test my knowledge but not necessarily learn something new</t>
  </si>
  <si>
    <t>Made me drowsy and had a headache, movement was not smooth and felt like nauseating. The game was good whatsoever, I would play the game to redo the questions to study for finals if I could.</t>
  </si>
  <si>
    <t>The game encouraged to get the right answer while providing an interesting plot. Sometimes it would glitch</t>
  </si>
  <si>
    <t>The game was good. It was difficult to understand what to do at first and I struggled with choosing the correct answers in 3 cabins because I kept kicking into the ring</t>
  </si>
  <si>
    <t>It was a bit confusing to where to go, the game was moving on it’s own</t>
  </si>
  <si>
    <t>Overall I thought it was good. Though without prior knowledge it would be a steep learning curve, might add some tutorials</t>
  </si>
  <si>
    <t>It was great that player can collect tools to capture zombies. But when quizzes in hut the answers are hard to catch and may mistakenly answer the question at once</t>
  </si>
  <si>
    <t>Gaming experience was nice. Graphics reminded me of Roblox. Gaming experiences like this would be helpful if incorporated with class. It makes it more engaging. Not sure if the good</t>
  </si>
  <si>
    <t>The game has a lot of potentials. Found some soft lock places where you are stuck and can not move. Add mouse sensitivity slider</t>
  </si>
  <si>
    <t>I love the game, may be for wrong answers add the explanations</t>
  </si>
  <si>
    <t>The box quizzes were great but sometimes the cubes would move around</t>
  </si>
  <si>
    <t>It was enjoyable and more visual to learn crystallography</t>
  </si>
  <si>
    <t>It was glitching, has the potential to be a good learning stuff</t>
  </si>
  <si>
    <t>I was confused and the game glitched</t>
  </si>
  <si>
    <t>I really enjoyed the game, and it was useful to understand miller indices as the cube was visualized</t>
  </si>
  <si>
    <t>The game was well made and helpful. I suggest the cubes not move around and stay flat, not bouncing.</t>
  </si>
  <si>
    <t>Smooth, relaxing, fun and educative. There is a good case for successful learning in this method. During quizzes the cubes can be more stable</t>
  </si>
  <si>
    <t>Adding online video game activities would be better</t>
  </si>
  <si>
    <t>Not a good experience</t>
  </si>
  <si>
    <t>It was interesting</t>
  </si>
  <si>
    <t>Good method to review the class materials</t>
  </si>
  <si>
    <t>Good experience, should have some way to find missing things</t>
  </si>
  <si>
    <t>Game was fun and useful for learning, Demo parts could have more explanations</t>
  </si>
  <si>
    <t>Multiple choice should be replaced with more interactive stuff</t>
  </si>
  <si>
    <t>Good. Being able to changing sensitivity would be good, cubes can be locked so they don’t move too much</t>
  </si>
  <si>
    <t>3D game made dizzy</t>
  </si>
  <si>
    <t>Did not like the zombies</t>
  </si>
  <si>
    <t>Simple and straightforward game to learn and play, having better gaming experience might help me more</t>
  </si>
  <si>
    <t>The game was cool, I am a terrible gamer.</t>
  </si>
  <si>
    <t>The game made the subject fun and enjoyable to learn . Some aspects of the game can be better, felt confusing</t>
  </si>
  <si>
    <t>It was a fun and interactive way to learn about crystallography</t>
  </si>
  <si>
    <t>Entering the house and taking the quiz could made easy</t>
  </si>
  <si>
    <t>I enjoyed playing the game. I think finding ways to make learning fun is really important in stressful environment</t>
  </si>
  <si>
    <t>Crystal Vision 2.0 Test Group</t>
  </si>
  <si>
    <t>Average</t>
  </si>
  <si>
    <t>Quiz Time</t>
  </si>
  <si>
    <t>Quiz Score</t>
  </si>
  <si>
    <t>Crystal Vision 2.0 Control Group</t>
  </si>
  <si>
    <t>Disagree</t>
  </si>
  <si>
    <t>Neutral</t>
  </si>
  <si>
    <t>Agree</t>
  </si>
  <si>
    <t>Strongly Agree</t>
  </si>
  <si>
    <t>Written Feedback (WF): Full Text</t>
  </si>
  <si>
    <t>Game Score: Quiz</t>
  </si>
  <si>
    <t>Game Score: Demos</t>
  </si>
  <si>
    <t>Game Score: Zombie</t>
  </si>
  <si>
    <t xml:space="preserve">Game Score: MCQ </t>
  </si>
  <si>
    <t>Game Score: 3D Quiz 1</t>
  </si>
  <si>
    <t>Game Score: 3D Quiz 2</t>
  </si>
  <si>
    <t>Game Score: 3D Quiz 3</t>
  </si>
  <si>
    <t>Game Score: Total</t>
  </si>
  <si>
    <t>Survey Questions</t>
  </si>
  <si>
    <t>I have a good previous experience in playing video games</t>
  </si>
  <si>
    <t>I was successful in achieving what was asked of me in this game</t>
  </si>
  <si>
    <t>I had to work hard to accomplish what was asked of me in this game</t>
  </si>
  <si>
    <t>I think the game has helped in improving the understanding of the basic topics of crystallography</t>
  </si>
  <si>
    <t>I would like to play more educational games based on the course materials</t>
  </si>
  <si>
    <t>I think gaming is an effective platform for understanding spatially complex structures</t>
  </si>
  <si>
    <t>The game increased my interest in the behavior of materials</t>
  </si>
  <si>
    <t>Std</t>
  </si>
  <si>
    <t>Pre-Game Quiz Time</t>
  </si>
  <si>
    <t>Post-Game Quiz Time</t>
  </si>
  <si>
    <t>Pre-Game Quiz Score</t>
  </si>
  <si>
    <t>Post-Game Quiz Score</t>
  </si>
  <si>
    <t>Likert Scale</t>
  </si>
  <si>
    <t>Strongly Disagree</t>
  </si>
  <si>
    <t>2 (R)</t>
  </si>
  <si>
    <t>The game 'Crystal Vision 2.0' was not mentally demanding for me</t>
  </si>
  <si>
    <t>Pre-Game</t>
  </si>
  <si>
    <t>Post-Game</t>
  </si>
  <si>
    <t>2(R)</t>
  </si>
  <si>
    <t>Control Group</t>
  </si>
  <si>
    <t>Survey Score</t>
  </si>
  <si>
    <t>Student Number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</si>
  <si>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</si>
  <si>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</si>
  <si>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</si>
  <si>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</si>
  <si>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</si>
  <si>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</si>
  <si>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</si>
  <si>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</si>
  <si>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</si>
  <si>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</si>
  <si>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</si>
  <si>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</si>
  <si>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</si>
  <si>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</si>
  <si>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</si>
  <si>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</si>
  <si>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</si>
  <si>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</si>
  <si>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</si>
  <si>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</si>
  <si>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</si>
  <si>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</si>
  <si>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</si>
  <si>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</si>
  <si>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</si>
  <si>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</si>
  <si>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</si>
  <si>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</si>
  <si>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</si>
  <si>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</si>
  <si>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</si>
  <si>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</si>
  <si>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</si>
  <si>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</si>
  <si>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</si>
  <si>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</si>
  <si>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</si>
  <si>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</si>
  <si>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</si>
  <si>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</si>
  <si>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</si>
  <si>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</si>
  <si>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</si>
  <si>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</si>
  <si>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</si>
  <si>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</si>
  <si>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</si>
  <si>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</si>
  <si>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</si>
  <si>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</si>
  <si>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</si>
  <si>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</si>
  <si>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</si>
  <si>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</si>
  <si>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</si>
  <si>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</si>
  <si>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</si>
  <si>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</si>
  <si>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</si>
  <si>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</si>
  <si>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</si>
  <si>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</si>
  <si>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</si>
  <si>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</si>
  <si>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</si>
  <si>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</si>
  <si>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</si>
  <si>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</si>
  <si>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</si>
  <si>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</si>
  <si>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</si>
  <si>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</si>
  <si>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</si>
  <si>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</si>
  <si>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</si>
  <si>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</si>
  <si>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</si>
  <si>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</si>
  <si>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</si>
  <si>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</si>
  <si>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</si>
  <si>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</si>
  <si>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</si>
  <si>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</si>
  <si>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Q 1</t>
  </si>
  <si>
    <t>Q 2 (R)</t>
  </si>
  <si>
    <t>Q 3</t>
  </si>
  <si>
    <t>Q 4</t>
  </si>
  <si>
    <t>Q 5</t>
  </si>
  <si>
    <t>Q 6</t>
  </si>
  <si>
    <t>Q 7</t>
  </si>
  <si>
    <t>Q 8</t>
  </si>
  <si>
    <t>Question Number</t>
  </si>
  <si>
    <t>The game was good but can be more enjoyable</t>
  </si>
  <si>
    <t>Question Numbers</t>
  </si>
  <si>
    <t>Category</t>
  </si>
  <si>
    <t>Experimental Group</t>
  </si>
  <si>
    <t>Themes</t>
  </si>
  <si>
    <t>Enjoyment</t>
  </si>
  <si>
    <t>Educative</t>
  </si>
  <si>
    <t>Enjoyment, Suggestions</t>
  </si>
  <si>
    <t>Educative, Suggestions</t>
  </si>
  <si>
    <t>Technical Issue</t>
  </si>
  <si>
    <t>Enjoyment, Navigation/Motion Issue</t>
  </si>
  <si>
    <t>Enjoyment, Educative</t>
  </si>
  <si>
    <t>Enjoyment, Technical Issue</t>
  </si>
  <si>
    <t>Navigation/Motion Issues</t>
  </si>
  <si>
    <t>Enjoyment, Educative, Suggestions</t>
  </si>
  <si>
    <t>Enjoyment, Technical Issues</t>
  </si>
  <si>
    <t>Suggestions</t>
  </si>
  <si>
    <t>Negative Experience</t>
  </si>
  <si>
    <t>Suggestions, Suggestions</t>
  </si>
  <si>
    <t>Enjoyment, Negative Experience, Suggestions</t>
  </si>
  <si>
    <t>Enjoyment, Educative, Suggestions, Technical Issues</t>
  </si>
  <si>
    <t>Educative, Technical Isuues</t>
  </si>
  <si>
    <t>Enjoyemnt, Navigation/Motion issues</t>
  </si>
  <si>
    <t>Technical Issues, Educative</t>
  </si>
  <si>
    <t>Technical Issues</t>
  </si>
  <si>
    <t>Navigation/ Motion Issues</t>
  </si>
  <si>
    <t>Educative, Enjoyment</t>
  </si>
  <si>
    <t>Enjoyment, Navigation/Motion Sickness</t>
  </si>
  <si>
    <t>Navigation/Motion Issues, Technical Issues</t>
  </si>
  <si>
    <t>Enjoyment, Technical Issues, Suggestions</t>
  </si>
  <si>
    <t>Enjoyment, Suggestions, Technical Issues</t>
  </si>
  <si>
    <t>Navigation/Motion sickness</t>
  </si>
  <si>
    <t>Number of Response</t>
  </si>
  <si>
    <t>Serial Number</t>
  </si>
  <si>
    <t>Navigation/
Motion Issues</t>
  </si>
  <si>
    <t>Thematic Coding 1</t>
  </si>
  <si>
    <t>It was interactive and helpful to understand CEE better, making the rewards for answering correctly</t>
  </si>
  <si>
    <t>I love the Game. It was well made and helped me learn. Awesome job. 10 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</si>
</sst>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4" tint="-0.499984740745262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4" tint="-0.49998474074526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6" tint="0.79998168889431442"/>
      <name val="Times New Roman"/>
      <family val="1"/>
    </font>
    <font>
      <b/>
      <sz val="20"/>
      <color theme="4" tint="-0.499984740745262"/>
      <name val="Times New Roman"/>
      <family val="1"/>
    </font>
    <font>
      <b/>
      <sz val="14"/>
      <color theme="1"/>
      <name val="Times New Roman"/>
      <family val="1"/>
    </font>
    <font>
      <b/>
      <sz val="16"/>
      <color theme="4" tint="-0.499984740745262"/>
      <name val="Times New Roman"/>
      <family val="1"/>
    </font>
    <font>
      <b/>
      <sz val="16"/>
      <color theme="1"/>
      <name val="Times New Roman"/>
      <family val="1"/>
    </font>
    <font>
      <b/>
      <sz val="14"/>
      <color theme="4" tint="-0.499984740745262"/>
      <name val="Times New Roman"/>
      <family val="1"/>
    </font>
    <font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4"/>
      <color theme="4" tint="-0.49998474074526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A99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4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/>
    <xf numFmtId="0" fontId="6" fillId="0" borderId="4" xfId="0" applyFont="1" applyBorder="1"/>
    <xf numFmtId="0" fontId="4" fillId="0" borderId="0" xfId="0" applyFont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6" fillId="6" borderId="14" xfId="0" applyFont="1" applyFill="1" applyBorder="1"/>
    <xf numFmtId="0" fontId="6" fillId="0" borderId="16" xfId="0" applyFont="1" applyBorder="1"/>
    <xf numFmtId="0" fontId="6" fillId="10" borderId="25" xfId="0" applyFont="1" applyFill="1" applyBorder="1"/>
    <xf numFmtId="0" fontId="6" fillId="10" borderId="13" xfId="0" applyFont="1" applyFill="1" applyBorder="1"/>
    <xf numFmtId="0" fontId="6" fillId="0" borderId="14" xfId="0" applyFont="1" applyBorder="1"/>
    <xf numFmtId="0" fontId="6" fillId="0" borderId="15" xfId="0" applyFont="1" applyBorder="1"/>
    <xf numFmtId="2" fontId="6" fillId="0" borderId="19" xfId="0" applyNumberFormat="1" applyFont="1" applyBorder="1"/>
    <xf numFmtId="2" fontId="6" fillId="0" borderId="23" xfId="0" applyNumberFormat="1" applyFont="1" applyBorder="1"/>
    <xf numFmtId="2" fontId="6" fillId="0" borderId="10" xfId="0" applyNumberFormat="1" applyFont="1" applyBorder="1"/>
    <xf numFmtId="2" fontId="6" fillId="0" borderId="11" xfId="0" applyNumberFormat="1" applyFont="1" applyBorder="1"/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0" fontId="11" fillId="6" borderId="9" xfId="0" applyFont="1" applyFill="1" applyBorder="1"/>
    <xf numFmtId="0" fontId="11" fillId="0" borderId="5" xfId="0" applyFont="1" applyBorder="1"/>
    <xf numFmtId="0" fontId="11" fillId="2" borderId="5" xfId="0" applyFont="1" applyFill="1" applyBorder="1"/>
    <xf numFmtId="0" fontId="11" fillId="4" borderId="14" xfId="0" applyFont="1" applyFill="1" applyBorder="1"/>
    <xf numFmtId="0" fontId="11" fillId="3" borderId="5" xfId="0" applyFont="1" applyFill="1" applyBorder="1"/>
    <xf numFmtId="0" fontId="11" fillId="4" borderId="28" xfId="0" applyFont="1" applyFill="1" applyBorder="1"/>
    <xf numFmtId="0" fontId="11" fillId="4" borderId="5" xfId="0" applyFont="1" applyFill="1" applyBorder="1"/>
    <xf numFmtId="2" fontId="11" fillId="11" borderId="30" xfId="0" applyNumberFormat="1" applyFont="1" applyFill="1" applyBorder="1"/>
    <xf numFmtId="0" fontId="12" fillId="0" borderId="5" xfId="0" applyFont="1" applyBorder="1"/>
    <xf numFmtId="0" fontId="1" fillId="0" borderId="15" xfId="0" applyFont="1" applyBorder="1"/>
    <xf numFmtId="164" fontId="6" fillId="0" borderId="4" xfId="0" applyNumberFormat="1" applyFont="1" applyBorder="1"/>
    <xf numFmtId="164" fontId="6" fillId="0" borderId="7" xfId="0" applyNumberFormat="1" applyFont="1" applyBorder="1"/>
    <xf numFmtId="164" fontId="6" fillId="0" borderId="26" xfId="0" applyNumberFormat="1" applyFont="1" applyBorder="1"/>
    <xf numFmtId="164" fontId="6" fillId="0" borderId="27" xfId="0" applyNumberFormat="1" applyFont="1" applyBorder="1"/>
    <xf numFmtId="0" fontId="16" fillId="8" borderId="4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164" fontId="11" fillId="0" borderId="5" xfId="0" applyNumberFormat="1" applyFont="1" applyBorder="1"/>
    <xf numFmtId="164" fontId="11" fillId="2" borderId="5" xfId="0" applyNumberFormat="1" applyFont="1" applyFill="1" applyBorder="1"/>
    <xf numFmtId="164" fontId="11" fillId="11" borderId="30" xfId="0" applyNumberFormat="1" applyFont="1" applyFill="1" applyBorder="1"/>
    <xf numFmtId="164" fontId="11" fillId="4" borderId="5" xfId="0" applyNumberFormat="1" applyFont="1" applyFill="1" applyBorder="1"/>
    <xf numFmtId="164" fontId="11" fillId="11" borderId="31" xfId="0" applyNumberFormat="1" applyFont="1" applyFill="1" applyBorder="1"/>
    <xf numFmtId="0" fontId="15" fillId="0" borderId="0" xfId="0" applyFont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4" fillId="11" borderId="48" xfId="0" applyFont="1" applyFill="1" applyBorder="1"/>
    <xf numFmtId="2" fontId="11" fillId="11" borderId="47" xfId="0" applyNumberFormat="1" applyFont="1" applyFill="1" applyBorder="1"/>
    <xf numFmtId="0" fontId="14" fillId="11" borderId="49" xfId="0" applyFont="1" applyFill="1" applyBorder="1"/>
    <xf numFmtId="0" fontId="17" fillId="6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 wrapText="1"/>
    </xf>
    <xf numFmtId="0" fontId="11" fillId="7" borderId="14" xfId="0" applyFont="1" applyFill="1" applyBorder="1"/>
    <xf numFmtId="0" fontId="11" fillId="0" borderId="4" xfId="0" applyFont="1" applyBorder="1" applyAlignment="1">
      <alignment vertical="center"/>
    </xf>
    <xf numFmtId="0" fontId="11" fillId="6" borderId="14" xfId="0" applyFont="1" applyFill="1" applyBorder="1"/>
    <xf numFmtId="0" fontId="11" fillId="0" borderId="7" xfId="0" applyFont="1" applyBorder="1" applyAlignment="1">
      <alignment vertical="center"/>
    </xf>
    <xf numFmtId="0" fontId="11" fillId="10" borderId="22" xfId="0" applyFont="1" applyFill="1" applyBorder="1"/>
    <xf numFmtId="164" fontId="11" fillId="0" borderId="21" xfId="0" applyNumberFormat="1" applyFont="1" applyBorder="1" applyAlignment="1">
      <alignment vertical="center"/>
    </xf>
    <xf numFmtId="164" fontId="11" fillId="0" borderId="26" xfId="0" applyNumberFormat="1" applyFont="1" applyBorder="1" applyAlignment="1">
      <alignment vertical="center"/>
    </xf>
    <xf numFmtId="0" fontId="11" fillId="10" borderId="24" xfId="0" applyFont="1" applyFill="1" applyBorder="1"/>
    <xf numFmtId="164" fontId="11" fillId="0" borderId="20" xfId="0" applyNumberFormat="1" applyFont="1" applyBorder="1" applyAlignment="1">
      <alignment vertical="center"/>
    </xf>
    <xf numFmtId="164" fontId="11" fillId="0" borderId="27" xfId="0" applyNumberFormat="1" applyFont="1" applyBorder="1" applyAlignment="1">
      <alignment vertical="center"/>
    </xf>
    <xf numFmtId="0" fontId="11" fillId="0" borderId="14" xfId="0" applyFont="1" applyBorder="1"/>
    <xf numFmtId="0" fontId="11" fillId="2" borderId="14" xfId="0" applyFont="1" applyFill="1" applyBorder="1"/>
    <xf numFmtId="0" fontId="11" fillId="8" borderId="2" xfId="0" applyFont="1" applyFill="1" applyBorder="1"/>
    <xf numFmtId="164" fontId="11" fillId="8" borderId="21" xfId="0" applyNumberFormat="1" applyFont="1" applyFill="1" applyBorder="1"/>
    <xf numFmtId="164" fontId="11" fillId="8" borderId="26" xfId="0" applyNumberFormat="1" applyFont="1" applyFill="1" applyBorder="1"/>
    <xf numFmtId="0" fontId="11" fillId="8" borderId="41" xfId="0" applyFont="1" applyFill="1" applyBorder="1"/>
    <xf numFmtId="164" fontId="11" fillId="8" borderId="20" xfId="0" applyNumberFormat="1" applyFont="1" applyFill="1" applyBorder="1"/>
    <xf numFmtId="164" fontId="11" fillId="8" borderId="27" xfId="0" applyNumberFormat="1" applyFont="1" applyFill="1" applyBorder="1"/>
    <xf numFmtId="0" fontId="11" fillId="7" borderId="6" xfId="0" applyFont="1" applyFill="1" applyBorder="1"/>
    <xf numFmtId="0" fontId="11" fillId="6" borderId="4" xfId="0" applyFont="1" applyFill="1" applyBorder="1"/>
    <xf numFmtId="0" fontId="11" fillId="8" borderId="19" xfId="0" applyFont="1" applyFill="1" applyBorder="1"/>
    <xf numFmtId="164" fontId="11" fillId="8" borderId="34" xfId="0" applyNumberFormat="1" applyFont="1" applyFill="1" applyBorder="1"/>
    <xf numFmtId="164" fontId="11" fillId="8" borderId="23" xfId="0" applyNumberFormat="1" applyFont="1" applyFill="1" applyBorder="1"/>
    <xf numFmtId="164" fontId="11" fillId="8" borderId="44" xfId="0" applyNumberFormat="1" applyFont="1" applyFill="1" applyBorder="1"/>
    <xf numFmtId="0" fontId="11" fillId="8" borderId="42" xfId="0" applyFont="1" applyFill="1" applyBorder="1"/>
    <xf numFmtId="164" fontId="11" fillId="8" borderId="36" xfId="0" applyNumberFormat="1" applyFont="1" applyFill="1" applyBorder="1"/>
    <xf numFmtId="164" fontId="11" fillId="8" borderId="43" xfId="0" applyNumberFormat="1" applyFont="1" applyFill="1" applyBorder="1"/>
    <xf numFmtId="164" fontId="11" fillId="8" borderId="45" xfId="0" applyNumberFormat="1" applyFont="1" applyFill="1" applyBorder="1"/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2" fontId="11" fillId="0" borderId="21" xfId="0" applyNumberFormat="1" applyFont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2" fontId="11" fillId="0" borderId="4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2" fontId="11" fillId="0" borderId="20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0" fontId="18" fillId="0" borderId="0" xfId="0" applyFont="1"/>
    <xf numFmtId="0" fontId="11" fillId="0" borderId="37" xfId="0" applyFont="1" applyBorder="1"/>
    <xf numFmtId="0" fontId="11" fillId="0" borderId="0" xfId="0" applyFont="1"/>
    <xf numFmtId="0" fontId="11" fillId="9" borderId="5" xfId="0" applyFont="1" applyFill="1" applyBorder="1" applyAlignment="1">
      <alignment horizontal="center"/>
    </xf>
    <xf numFmtId="0" fontId="11" fillId="9" borderId="40" xfId="0" applyFont="1" applyFill="1" applyBorder="1" applyAlignment="1">
      <alignment horizontal="center"/>
    </xf>
    <xf numFmtId="0" fontId="14" fillId="0" borderId="22" xfId="0" applyFont="1" applyBorder="1" applyAlignment="1">
      <alignment horizontal="left"/>
    </xf>
    <xf numFmtId="2" fontId="11" fillId="0" borderId="21" xfId="0" applyNumberFormat="1" applyFont="1" applyBorder="1" applyAlignment="1">
      <alignment horizontal="center"/>
    </xf>
    <xf numFmtId="2" fontId="11" fillId="0" borderId="26" xfId="0" applyNumberFormat="1" applyFont="1" applyBorder="1" applyAlignment="1">
      <alignment horizontal="center"/>
    </xf>
    <xf numFmtId="0" fontId="14" fillId="0" borderId="33" xfId="0" applyFont="1" applyBorder="1" applyAlignment="1">
      <alignment horizontal="left"/>
    </xf>
    <xf numFmtId="2" fontId="11" fillId="0" borderId="4" xfId="0" applyNumberFormat="1" applyFont="1" applyBorder="1" applyAlignment="1">
      <alignment horizontal="center"/>
    </xf>
    <xf numFmtId="2" fontId="11" fillId="0" borderId="29" xfId="0" applyNumberFormat="1" applyFont="1" applyBorder="1" applyAlignment="1">
      <alignment horizontal="center"/>
    </xf>
    <xf numFmtId="0" fontId="14" fillId="0" borderId="24" xfId="0" applyFont="1" applyBorder="1" applyAlignment="1">
      <alignment horizontal="left"/>
    </xf>
    <xf numFmtId="2" fontId="11" fillId="0" borderId="20" xfId="0" applyNumberFormat="1" applyFont="1" applyBorder="1" applyAlignment="1">
      <alignment horizontal="center"/>
    </xf>
    <xf numFmtId="2" fontId="11" fillId="0" borderId="27" xfId="0" applyNumberFormat="1" applyFont="1" applyBorder="1" applyAlignment="1">
      <alignment horizontal="center"/>
    </xf>
    <xf numFmtId="2" fontId="11" fillId="11" borderId="4" xfId="0" applyNumberFormat="1" applyFont="1" applyFill="1" applyBorder="1"/>
    <xf numFmtId="164" fontId="11" fillId="11" borderId="4" xfId="0" applyNumberFormat="1" applyFont="1" applyFill="1" applyBorder="1"/>
    <xf numFmtId="0" fontId="14" fillId="11" borderId="4" xfId="0" applyFont="1" applyFill="1" applyBorder="1"/>
    <xf numFmtId="0" fontId="19" fillId="0" borderId="4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 wrapText="1"/>
    </xf>
    <xf numFmtId="0" fontId="19" fillId="12" borderId="50" xfId="0" applyFont="1" applyFill="1" applyBorder="1"/>
    <xf numFmtId="0" fontId="19" fillId="12" borderId="42" xfId="0" applyFont="1" applyFill="1" applyBorder="1"/>
    <xf numFmtId="0" fontId="19" fillId="0" borderId="4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13" borderId="4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/>
    </xf>
    <xf numFmtId="0" fontId="16" fillId="8" borderId="17" xfId="0" applyFont="1" applyFill="1" applyBorder="1" applyAlignment="1">
      <alignment horizontal="center"/>
    </xf>
    <xf numFmtId="0" fontId="16" fillId="8" borderId="18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/>
    </xf>
    <xf numFmtId="0" fontId="16" fillId="3" borderId="18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1" fillId="8" borderId="35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1" fillId="8" borderId="38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0.0"/>
      <fill>
        <patternFill patternType="solid">
          <fgColor rgb="FFEA9999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4" tint="-0.499984740745262"/>
        <name val="Times New Roman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62D85-E152-4D1B-8274-BC259BB3CBA7}" name="Table1" displayName="Table1" ref="A1:H87" totalsRowShown="0" headerRowDxfId="11" dataDxfId="9" headerRowBorderDxfId="10" tableBorderDxfId="8">
  <autoFilter ref="A1:H87" xr:uid="{C0289E85-6A39-431F-B907-F2A8DD414520}"/>
  <sortState xmlns:xlrd2="http://schemas.microsoft.com/office/spreadsheetml/2017/richdata2" ref="A2:H86">
    <sortCondition descending="1" ref="F1:F86"/>
  </sortState>
  <tableColumns count="8">
    <tableColumn id="1" xr3:uid="{856F62D5-230D-42E5-81B9-B006508055E7}" name="Student Number" dataDxfId="7"/>
    <tableColumn id="7" xr3:uid="{ED5D56C5-3F07-4B9E-92CC-2D0B42501F6D}" name="Category" dataDxfId="6"/>
    <tableColumn id="2" xr3:uid="{06AA4DC0-FA21-45C9-A7B2-6B90433B15E0}" name="Pre-Game Quiz Time" dataDxfId="5"/>
    <tableColumn id="3" xr3:uid="{EEBA6977-C438-4593-8689-1FF38937BFB5}" name="Post-Game Quiz Time" dataDxfId="4"/>
    <tableColumn id="4" xr3:uid="{67667423-F17E-4E41-9B26-577BADE36331}" name="Pre-Game Quiz Score" dataDxfId="3"/>
    <tableColumn id="5" xr3:uid="{CE917814-65F2-4CB4-9935-BE7D280A36EB}" name="Post-Game Quiz Score" dataDxfId="2"/>
    <tableColumn id="6" xr3:uid="{9EF8CDB4-96B3-4B4B-A3D2-92BD2EE8B207}" name="Survey Score" dataDxfId="1"/>
    <tableColumn id="33" xr3:uid="{6E171CFD-C9E4-4DAE-9A02-337759F9BE5E}" name="Game Score: 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zoomScale="75" zoomScaleNormal="51" workbookViewId="0">
      <selection activeCell="F87" sqref="F87"/>
    </sheetView>
  </sheetViews>
  <sheetFormatPr defaultColWidth="8.85546875" defaultRowHeight="15" x14ac:dyDescent="0.25"/>
  <cols>
    <col min="1" max="1" width="31.85546875" bestFit="1" customWidth="1"/>
    <col min="2" max="2" width="31.85546875" customWidth="1"/>
    <col min="3" max="4" width="16.42578125" customWidth="1"/>
    <col min="5" max="5" width="18.42578125" customWidth="1"/>
    <col min="6" max="6" width="23.28515625" customWidth="1"/>
    <col min="7" max="7" width="21.28515625" customWidth="1"/>
    <col min="8" max="8" width="17.28515625" bestFit="1" customWidth="1"/>
    <col min="9" max="9" width="15.140625" customWidth="1"/>
    <col min="10" max="10" width="16.7109375" customWidth="1"/>
    <col min="11" max="12" width="16.42578125" customWidth="1"/>
    <col min="13" max="13" width="16.140625" customWidth="1"/>
    <col min="14" max="14" width="22.42578125" customWidth="1"/>
    <col min="15" max="15" width="36.42578125" bestFit="1" customWidth="1"/>
    <col min="16" max="16" width="33.28515625" bestFit="1" customWidth="1"/>
    <col min="17" max="17" width="39.28515625" bestFit="1" customWidth="1"/>
    <col min="18" max="19" width="39.7109375" bestFit="1" customWidth="1"/>
    <col min="20" max="20" width="33.7109375" bestFit="1" customWidth="1"/>
    <col min="21" max="21" width="22.42578125" bestFit="1" customWidth="1"/>
    <col min="22" max="22" width="42.7109375" customWidth="1"/>
    <col min="23" max="23" width="18.85546875" customWidth="1"/>
    <col min="24" max="24" width="16.28515625" customWidth="1"/>
    <col min="25" max="25" width="19.85546875" customWidth="1"/>
    <col min="26" max="26" width="19.140625" customWidth="1"/>
    <col min="27" max="27" width="18.42578125" customWidth="1"/>
    <col min="28" max="28" width="19" customWidth="1"/>
    <col min="29" max="29" width="15.140625" customWidth="1"/>
    <col min="30" max="30" width="82.140625" customWidth="1"/>
  </cols>
  <sheetData>
    <row r="1" spans="1:20" ht="84" customHeight="1" x14ac:dyDescent="0.25">
      <c r="A1" s="7" t="s">
        <v>102</v>
      </c>
      <c r="B1" s="7" t="s">
        <v>198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101</v>
      </c>
      <c r="H1" s="8" t="s">
        <v>79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8.75" x14ac:dyDescent="0.3">
      <c r="A2" s="23" t="s">
        <v>103</v>
      </c>
      <c r="B2" s="57" t="s">
        <v>199</v>
      </c>
      <c r="C2" s="24">
        <v>10</v>
      </c>
      <c r="D2" s="24">
        <v>10</v>
      </c>
      <c r="E2" s="24">
        <v>10</v>
      </c>
      <c r="F2" s="24">
        <v>10</v>
      </c>
      <c r="G2" s="49">
        <v>3.625</v>
      </c>
      <c r="H2" s="24">
        <v>262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8.75" x14ac:dyDescent="0.3">
      <c r="A3" s="23" t="s">
        <v>104</v>
      </c>
      <c r="B3" s="57" t="s">
        <v>199</v>
      </c>
      <c r="C3" s="24">
        <v>8</v>
      </c>
      <c r="D3" s="24">
        <v>8</v>
      </c>
      <c r="E3" s="24">
        <v>7</v>
      </c>
      <c r="F3" s="24">
        <v>10</v>
      </c>
      <c r="G3" s="49">
        <v>4.375</v>
      </c>
      <c r="H3" s="24">
        <v>293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8.75" x14ac:dyDescent="0.3">
      <c r="A4" s="23" t="s">
        <v>105</v>
      </c>
      <c r="B4" s="57" t="s">
        <v>199</v>
      </c>
      <c r="C4" s="24">
        <v>14</v>
      </c>
      <c r="D4" s="24">
        <v>8</v>
      </c>
      <c r="E4" s="24">
        <v>9</v>
      </c>
      <c r="F4" s="24">
        <v>10</v>
      </c>
      <c r="G4" s="49">
        <v>4.5</v>
      </c>
      <c r="H4" s="2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8.75" x14ac:dyDescent="0.3">
      <c r="A5" s="23" t="s">
        <v>106</v>
      </c>
      <c r="B5" s="57" t="s">
        <v>199</v>
      </c>
      <c r="C5" s="24">
        <v>8</v>
      </c>
      <c r="D5" s="24">
        <v>7</v>
      </c>
      <c r="E5" s="24">
        <v>10</v>
      </c>
      <c r="F5" s="24">
        <v>10</v>
      </c>
      <c r="G5" s="49">
        <v>4.25</v>
      </c>
      <c r="H5" s="2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8.75" x14ac:dyDescent="0.3">
      <c r="A6" s="23" t="s">
        <v>107</v>
      </c>
      <c r="B6" s="57" t="s">
        <v>199</v>
      </c>
      <c r="C6" s="24">
        <v>8</v>
      </c>
      <c r="D6" s="24">
        <v>7</v>
      </c>
      <c r="E6" s="24">
        <v>8</v>
      </c>
      <c r="F6" s="24">
        <v>10</v>
      </c>
      <c r="G6" s="49">
        <v>2.125</v>
      </c>
      <c r="H6" s="2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8.75" x14ac:dyDescent="0.3">
      <c r="A7" s="23" t="s">
        <v>108</v>
      </c>
      <c r="B7" s="57" t="s">
        <v>199</v>
      </c>
      <c r="C7" s="24">
        <v>8</v>
      </c>
      <c r="D7" s="24">
        <v>7</v>
      </c>
      <c r="E7" s="24">
        <v>10</v>
      </c>
      <c r="F7" s="24">
        <v>10</v>
      </c>
      <c r="G7" s="49">
        <v>4.625</v>
      </c>
      <c r="H7" s="24">
        <v>236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8.75" x14ac:dyDescent="0.3">
      <c r="A8" s="23" t="s">
        <v>109</v>
      </c>
      <c r="B8" s="57" t="s">
        <v>199</v>
      </c>
      <c r="C8" s="24">
        <v>6</v>
      </c>
      <c r="D8" s="24">
        <v>7</v>
      </c>
      <c r="E8" s="24">
        <v>8</v>
      </c>
      <c r="F8" s="24">
        <v>10</v>
      </c>
      <c r="G8" s="49">
        <v>4.375</v>
      </c>
      <c r="H8" s="24">
        <v>291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8.75" x14ac:dyDescent="0.3">
      <c r="A9" s="23" t="s">
        <v>110</v>
      </c>
      <c r="B9" s="57" t="s">
        <v>199</v>
      </c>
      <c r="C9" s="25">
        <v>7</v>
      </c>
      <c r="D9" s="25">
        <v>6</v>
      </c>
      <c r="E9" s="25">
        <v>9</v>
      </c>
      <c r="F9" s="25">
        <v>10</v>
      </c>
      <c r="G9" s="50"/>
      <c r="H9" s="24">
        <v>302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8.75" x14ac:dyDescent="0.3">
      <c r="A10" s="23" t="s">
        <v>111</v>
      </c>
      <c r="B10" s="57" t="s">
        <v>199</v>
      </c>
      <c r="C10" s="24">
        <v>10</v>
      </c>
      <c r="D10" s="24">
        <v>6</v>
      </c>
      <c r="E10" s="24">
        <v>7</v>
      </c>
      <c r="F10" s="24">
        <v>10</v>
      </c>
      <c r="G10" s="49">
        <v>4.375</v>
      </c>
      <c r="H10" s="24">
        <v>265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8.75" x14ac:dyDescent="0.3">
      <c r="A11" s="23" t="s">
        <v>112</v>
      </c>
      <c r="B11" s="57" t="s">
        <v>199</v>
      </c>
      <c r="C11" s="24">
        <v>10</v>
      </c>
      <c r="D11" s="24">
        <v>6</v>
      </c>
      <c r="E11" s="24">
        <v>7</v>
      </c>
      <c r="F11" s="24">
        <v>10</v>
      </c>
      <c r="G11" s="49">
        <v>4</v>
      </c>
      <c r="H11" s="24">
        <v>217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8.75" x14ac:dyDescent="0.3">
      <c r="A12" s="23" t="s">
        <v>113</v>
      </c>
      <c r="B12" s="57" t="s">
        <v>199</v>
      </c>
      <c r="C12" s="24">
        <v>12</v>
      </c>
      <c r="D12" s="24">
        <v>6</v>
      </c>
      <c r="E12" s="24">
        <v>7</v>
      </c>
      <c r="F12" s="24">
        <v>10</v>
      </c>
      <c r="G12" s="49">
        <v>3.75</v>
      </c>
      <c r="H12" s="24">
        <v>214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8.75" x14ac:dyDescent="0.3">
      <c r="A13" s="23" t="s">
        <v>114</v>
      </c>
      <c r="B13" s="57" t="s">
        <v>199</v>
      </c>
      <c r="C13" s="24">
        <v>12</v>
      </c>
      <c r="D13" s="24">
        <v>6</v>
      </c>
      <c r="E13" s="24">
        <v>7</v>
      </c>
      <c r="F13" s="24">
        <v>10</v>
      </c>
      <c r="G13" s="49">
        <v>4.25</v>
      </c>
      <c r="H13" s="24">
        <v>253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8.75" x14ac:dyDescent="0.3">
      <c r="A14" s="23" t="s">
        <v>115</v>
      </c>
      <c r="B14" s="57" t="s">
        <v>199</v>
      </c>
      <c r="C14" s="24">
        <v>14</v>
      </c>
      <c r="D14" s="24">
        <v>5</v>
      </c>
      <c r="E14" s="24">
        <v>8</v>
      </c>
      <c r="F14" s="24">
        <v>10</v>
      </c>
      <c r="G14" s="49">
        <v>3.75</v>
      </c>
      <c r="H14" s="24">
        <v>295</v>
      </c>
    </row>
    <row r="15" spans="1:20" ht="18.75" x14ac:dyDescent="0.3">
      <c r="A15" s="23" t="s">
        <v>116</v>
      </c>
      <c r="B15" s="57" t="s">
        <v>199</v>
      </c>
      <c r="C15" s="24">
        <v>15</v>
      </c>
      <c r="D15" s="24">
        <v>5</v>
      </c>
      <c r="E15" s="24">
        <v>9</v>
      </c>
      <c r="F15" s="24">
        <v>10</v>
      </c>
      <c r="G15" s="49"/>
      <c r="H15" s="24"/>
    </row>
    <row r="16" spans="1:20" ht="18.75" x14ac:dyDescent="0.3">
      <c r="A16" s="23" t="s">
        <v>117</v>
      </c>
      <c r="B16" s="57" t="s">
        <v>199</v>
      </c>
      <c r="C16" s="24">
        <v>10</v>
      </c>
      <c r="D16" s="24">
        <v>5</v>
      </c>
      <c r="E16" s="24">
        <v>9</v>
      </c>
      <c r="F16" s="24">
        <v>10</v>
      </c>
      <c r="G16" s="49">
        <v>3.875</v>
      </c>
      <c r="H16" s="24">
        <v>303</v>
      </c>
    </row>
    <row r="17" spans="1:8" ht="18.75" x14ac:dyDescent="0.3">
      <c r="A17" s="23" t="s">
        <v>118</v>
      </c>
      <c r="B17" s="57" t="s">
        <v>199</v>
      </c>
      <c r="C17" s="24">
        <v>10</v>
      </c>
      <c r="D17" s="24">
        <v>5</v>
      </c>
      <c r="E17" s="24">
        <v>9</v>
      </c>
      <c r="F17" s="24">
        <v>10</v>
      </c>
      <c r="G17" s="49">
        <v>4.125</v>
      </c>
      <c r="H17" s="24">
        <v>5</v>
      </c>
    </row>
    <row r="18" spans="1:8" ht="18.75" x14ac:dyDescent="0.3">
      <c r="A18" s="23" t="s">
        <v>119</v>
      </c>
      <c r="B18" s="57" t="s">
        <v>199</v>
      </c>
      <c r="C18" s="24">
        <v>5</v>
      </c>
      <c r="D18" s="24">
        <v>5</v>
      </c>
      <c r="E18" s="24">
        <v>7</v>
      </c>
      <c r="F18" s="24">
        <v>10</v>
      </c>
      <c r="G18" s="49">
        <v>3.625</v>
      </c>
      <c r="H18" s="24"/>
    </row>
    <row r="19" spans="1:8" ht="18.75" x14ac:dyDescent="0.3">
      <c r="A19" s="23" t="s">
        <v>120</v>
      </c>
      <c r="B19" s="57" t="s">
        <v>199</v>
      </c>
      <c r="C19" s="24">
        <v>10</v>
      </c>
      <c r="D19" s="24">
        <v>5</v>
      </c>
      <c r="E19" s="24">
        <v>8</v>
      </c>
      <c r="F19" s="24">
        <v>10</v>
      </c>
      <c r="G19" s="49">
        <v>4.5</v>
      </c>
      <c r="H19" s="24">
        <v>266</v>
      </c>
    </row>
    <row r="20" spans="1:8" ht="18.75" x14ac:dyDescent="0.3">
      <c r="A20" s="23" t="s">
        <v>121</v>
      </c>
      <c r="B20" s="57" t="s">
        <v>199</v>
      </c>
      <c r="C20" s="24">
        <v>8</v>
      </c>
      <c r="D20" s="24">
        <v>5</v>
      </c>
      <c r="E20" s="24">
        <v>7</v>
      </c>
      <c r="F20" s="24">
        <v>10</v>
      </c>
      <c r="G20" s="49">
        <v>4.125</v>
      </c>
      <c r="H20" s="24">
        <v>225</v>
      </c>
    </row>
    <row r="21" spans="1:8" ht="18.75" x14ac:dyDescent="0.3">
      <c r="A21" s="23" t="s">
        <v>122</v>
      </c>
      <c r="B21" s="57" t="s">
        <v>199</v>
      </c>
      <c r="C21" s="24">
        <v>12</v>
      </c>
      <c r="D21" s="24">
        <v>5</v>
      </c>
      <c r="E21" s="24">
        <v>10</v>
      </c>
      <c r="F21" s="24">
        <v>10</v>
      </c>
      <c r="G21" s="49">
        <v>2.75</v>
      </c>
      <c r="H21" s="24"/>
    </row>
    <row r="22" spans="1:8" ht="18.75" x14ac:dyDescent="0.3">
      <c r="A22" s="23" t="s">
        <v>123</v>
      </c>
      <c r="B22" s="57" t="s">
        <v>199</v>
      </c>
      <c r="C22" s="24">
        <v>7</v>
      </c>
      <c r="D22" s="24">
        <v>5</v>
      </c>
      <c r="E22" s="24">
        <v>10</v>
      </c>
      <c r="F22" s="24">
        <v>10</v>
      </c>
      <c r="G22" s="49">
        <v>3.375</v>
      </c>
      <c r="H22" s="24">
        <v>258</v>
      </c>
    </row>
    <row r="23" spans="1:8" ht="18.75" x14ac:dyDescent="0.3">
      <c r="A23" s="23" t="s">
        <v>124</v>
      </c>
      <c r="B23" s="57" t="s">
        <v>199</v>
      </c>
      <c r="C23" s="24">
        <v>7</v>
      </c>
      <c r="D23" s="24">
        <v>5</v>
      </c>
      <c r="E23" s="24">
        <v>6</v>
      </c>
      <c r="F23" s="24">
        <v>10</v>
      </c>
      <c r="G23" s="49">
        <v>2.625</v>
      </c>
      <c r="H23" s="24">
        <v>232</v>
      </c>
    </row>
    <row r="24" spans="1:8" ht="18.75" x14ac:dyDescent="0.3">
      <c r="A24" s="23" t="s">
        <v>125</v>
      </c>
      <c r="B24" s="57" t="s">
        <v>199</v>
      </c>
      <c r="C24" s="24">
        <v>8</v>
      </c>
      <c r="D24" s="24">
        <v>4</v>
      </c>
      <c r="E24" s="24">
        <v>9</v>
      </c>
      <c r="F24" s="24">
        <v>10</v>
      </c>
      <c r="G24" s="49">
        <v>4.5</v>
      </c>
      <c r="H24" s="24">
        <v>269</v>
      </c>
    </row>
    <row r="25" spans="1:8" ht="18.75" x14ac:dyDescent="0.3">
      <c r="A25" s="23" t="s">
        <v>126</v>
      </c>
      <c r="B25" s="57" t="s">
        <v>199</v>
      </c>
      <c r="C25" s="24">
        <v>10</v>
      </c>
      <c r="D25" s="24">
        <v>4</v>
      </c>
      <c r="E25" s="24">
        <v>9</v>
      </c>
      <c r="F25" s="24">
        <v>10</v>
      </c>
      <c r="G25" s="49">
        <v>3.625</v>
      </c>
      <c r="H25" s="24"/>
    </row>
    <row r="26" spans="1:8" ht="18.75" x14ac:dyDescent="0.3">
      <c r="A26" s="23" t="s">
        <v>127</v>
      </c>
      <c r="B26" s="57" t="s">
        <v>199</v>
      </c>
      <c r="C26" s="24">
        <v>5</v>
      </c>
      <c r="D26" s="24">
        <v>4</v>
      </c>
      <c r="E26" s="24">
        <v>8</v>
      </c>
      <c r="F26" s="24">
        <v>10</v>
      </c>
      <c r="G26" s="49">
        <v>3.375</v>
      </c>
      <c r="H26" s="24">
        <v>274</v>
      </c>
    </row>
    <row r="27" spans="1:8" ht="18.75" x14ac:dyDescent="0.3">
      <c r="A27" s="23" t="s">
        <v>128</v>
      </c>
      <c r="B27" s="57" t="s">
        <v>199</v>
      </c>
      <c r="C27" s="24">
        <v>6</v>
      </c>
      <c r="D27" s="24">
        <v>4</v>
      </c>
      <c r="E27" s="24">
        <v>7</v>
      </c>
      <c r="F27" s="24">
        <v>10</v>
      </c>
      <c r="G27" s="49">
        <v>3.75</v>
      </c>
      <c r="H27" s="24">
        <v>265</v>
      </c>
    </row>
    <row r="28" spans="1:8" ht="18.75" x14ac:dyDescent="0.3">
      <c r="A28" s="23" t="s">
        <v>129</v>
      </c>
      <c r="B28" s="57" t="s">
        <v>199</v>
      </c>
      <c r="C28" s="24">
        <v>5</v>
      </c>
      <c r="D28" s="24">
        <v>3</v>
      </c>
      <c r="E28" s="24">
        <v>8</v>
      </c>
      <c r="F28" s="24">
        <v>10</v>
      </c>
      <c r="G28" s="49">
        <v>3.5</v>
      </c>
      <c r="H28" s="24"/>
    </row>
    <row r="29" spans="1:8" ht="18.75" x14ac:dyDescent="0.3">
      <c r="A29" s="23" t="s">
        <v>130</v>
      </c>
      <c r="B29" s="57" t="s">
        <v>199</v>
      </c>
      <c r="C29" s="24">
        <v>5</v>
      </c>
      <c r="D29" s="24">
        <v>3</v>
      </c>
      <c r="E29" s="24">
        <v>9</v>
      </c>
      <c r="F29" s="24">
        <v>10</v>
      </c>
      <c r="G29" s="49">
        <v>4.75</v>
      </c>
      <c r="H29" s="24">
        <v>286</v>
      </c>
    </row>
    <row r="30" spans="1:8" ht="18.75" x14ac:dyDescent="0.3">
      <c r="A30" s="23" t="s">
        <v>131</v>
      </c>
      <c r="B30" s="57" t="s">
        <v>199</v>
      </c>
      <c r="C30" s="24">
        <v>6</v>
      </c>
      <c r="D30" s="24">
        <v>3</v>
      </c>
      <c r="E30" s="24">
        <v>9</v>
      </c>
      <c r="F30" s="24">
        <v>10</v>
      </c>
      <c r="G30" s="49">
        <v>2.625</v>
      </c>
      <c r="H30" s="24">
        <v>267</v>
      </c>
    </row>
    <row r="31" spans="1:8" ht="18.75" x14ac:dyDescent="0.3">
      <c r="A31" s="23" t="s">
        <v>132</v>
      </c>
      <c r="B31" s="57" t="s">
        <v>199</v>
      </c>
      <c r="C31" s="24">
        <v>5</v>
      </c>
      <c r="D31" s="24">
        <v>3</v>
      </c>
      <c r="E31" s="24">
        <v>8</v>
      </c>
      <c r="F31" s="24">
        <v>10</v>
      </c>
      <c r="G31" s="49">
        <v>4</v>
      </c>
      <c r="H31" s="24">
        <v>234</v>
      </c>
    </row>
    <row r="32" spans="1:8" ht="18.75" x14ac:dyDescent="0.3">
      <c r="A32" s="23" t="s">
        <v>133</v>
      </c>
      <c r="B32" s="57" t="s">
        <v>199</v>
      </c>
      <c r="C32" s="24">
        <v>4</v>
      </c>
      <c r="D32" s="24">
        <v>3</v>
      </c>
      <c r="E32" s="24">
        <v>9</v>
      </c>
      <c r="F32" s="24">
        <v>10</v>
      </c>
      <c r="G32" s="49">
        <v>4</v>
      </c>
      <c r="H32" s="24">
        <v>266</v>
      </c>
    </row>
    <row r="33" spans="1:8" ht="18.75" x14ac:dyDescent="0.3">
      <c r="A33" s="23" t="s">
        <v>134</v>
      </c>
      <c r="B33" s="57" t="s">
        <v>199</v>
      </c>
      <c r="C33" s="24">
        <v>7</v>
      </c>
      <c r="D33" s="24">
        <v>2</v>
      </c>
      <c r="E33" s="24">
        <v>9</v>
      </c>
      <c r="F33" s="24">
        <v>10</v>
      </c>
      <c r="G33" s="49">
        <v>4.25</v>
      </c>
      <c r="H33" s="24">
        <v>266</v>
      </c>
    </row>
    <row r="34" spans="1:8" ht="18.75" x14ac:dyDescent="0.3">
      <c r="A34" s="23" t="s">
        <v>135</v>
      </c>
      <c r="B34" s="57" t="s">
        <v>199</v>
      </c>
      <c r="C34" s="24">
        <v>5</v>
      </c>
      <c r="D34" s="24">
        <v>2</v>
      </c>
      <c r="E34" s="24">
        <v>8</v>
      </c>
      <c r="F34" s="24">
        <v>10</v>
      </c>
      <c r="G34" s="49">
        <v>4.125</v>
      </c>
      <c r="H34" s="24">
        <v>276</v>
      </c>
    </row>
    <row r="35" spans="1:8" ht="18.75" x14ac:dyDescent="0.3">
      <c r="A35" s="23" t="s">
        <v>136</v>
      </c>
      <c r="B35" s="57" t="s">
        <v>199</v>
      </c>
      <c r="C35" s="24">
        <v>8</v>
      </c>
      <c r="D35" s="24">
        <v>10</v>
      </c>
      <c r="E35" s="24">
        <v>8</v>
      </c>
      <c r="F35" s="24">
        <v>9</v>
      </c>
      <c r="G35" s="49">
        <v>4.5</v>
      </c>
      <c r="H35" s="24"/>
    </row>
    <row r="36" spans="1:8" ht="18.75" x14ac:dyDescent="0.3">
      <c r="A36" s="23" t="s">
        <v>137</v>
      </c>
      <c r="B36" s="57" t="s">
        <v>199</v>
      </c>
      <c r="C36" s="24">
        <v>12</v>
      </c>
      <c r="D36" s="24">
        <v>10</v>
      </c>
      <c r="E36" s="24">
        <v>9</v>
      </c>
      <c r="F36" s="24">
        <v>9</v>
      </c>
      <c r="G36" s="49">
        <v>3.5</v>
      </c>
      <c r="H36" s="24">
        <v>281</v>
      </c>
    </row>
    <row r="37" spans="1:8" ht="18.75" x14ac:dyDescent="0.3">
      <c r="A37" s="23" t="s">
        <v>138</v>
      </c>
      <c r="B37" s="57" t="s">
        <v>199</v>
      </c>
      <c r="C37" s="24">
        <v>10</v>
      </c>
      <c r="D37" s="24">
        <v>8</v>
      </c>
      <c r="E37" s="24">
        <v>5</v>
      </c>
      <c r="F37" s="24">
        <v>9</v>
      </c>
      <c r="G37" s="49">
        <v>3.875</v>
      </c>
      <c r="H37" s="24">
        <v>323</v>
      </c>
    </row>
    <row r="38" spans="1:8" ht="18.75" x14ac:dyDescent="0.3">
      <c r="A38" s="23" t="s">
        <v>139</v>
      </c>
      <c r="B38" s="57" t="s">
        <v>199</v>
      </c>
      <c r="C38" s="24">
        <v>10</v>
      </c>
      <c r="D38" s="24">
        <v>7</v>
      </c>
      <c r="E38" s="24">
        <v>7</v>
      </c>
      <c r="F38" s="24">
        <v>9</v>
      </c>
      <c r="G38" s="49">
        <v>4.5</v>
      </c>
      <c r="H38" s="24">
        <v>11</v>
      </c>
    </row>
    <row r="39" spans="1:8" ht="18.75" x14ac:dyDescent="0.3">
      <c r="A39" s="23" t="s">
        <v>140</v>
      </c>
      <c r="B39" s="57" t="s">
        <v>199</v>
      </c>
      <c r="C39" s="24">
        <v>6</v>
      </c>
      <c r="D39" s="24">
        <v>7</v>
      </c>
      <c r="E39" s="24">
        <v>9</v>
      </c>
      <c r="F39" s="24">
        <v>9</v>
      </c>
      <c r="G39" s="49">
        <v>4</v>
      </c>
      <c r="H39" s="24"/>
    </row>
    <row r="40" spans="1:8" ht="18.75" x14ac:dyDescent="0.3">
      <c r="A40" s="23" t="s">
        <v>141</v>
      </c>
      <c r="B40" s="57" t="s">
        <v>199</v>
      </c>
      <c r="C40" s="24">
        <v>8</v>
      </c>
      <c r="D40" s="24">
        <v>6</v>
      </c>
      <c r="E40" s="24">
        <v>8</v>
      </c>
      <c r="F40" s="24">
        <v>9</v>
      </c>
      <c r="G40" s="49">
        <v>3.625</v>
      </c>
      <c r="H40" s="24">
        <v>212</v>
      </c>
    </row>
    <row r="41" spans="1:8" ht="18.75" x14ac:dyDescent="0.3">
      <c r="A41" s="23" t="s">
        <v>142</v>
      </c>
      <c r="B41" s="57" t="s">
        <v>199</v>
      </c>
      <c r="C41" s="24">
        <v>9</v>
      </c>
      <c r="D41" s="24">
        <v>6</v>
      </c>
      <c r="E41" s="24">
        <v>7</v>
      </c>
      <c r="F41" s="24">
        <v>9</v>
      </c>
      <c r="G41" s="49">
        <v>3.25</v>
      </c>
      <c r="H41" s="24">
        <v>214</v>
      </c>
    </row>
    <row r="42" spans="1:8" ht="18.75" x14ac:dyDescent="0.3">
      <c r="A42" s="23" t="s">
        <v>143</v>
      </c>
      <c r="B42" s="57" t="s">
        <v>199</v>
      </c>
      <c r="C42" s="24">
        <v>6</v>
      </c>
      <c r="D42" s="24">
        <v>6</v>
      </c>
      <c r="E42" s="24">
        <v>7</v>
      </c>
      <c r="F42" s="24">
        <v>9</v>
      </c>
      <c r="G42" s="49">
        <v>3.25</v>
      </c>
      <c r="H42" s="24">
        <v>261</v>
      </c>
    </row>
    <row r="43" spans="1:8" ht="18.75" x14ac:dyDescent="0.3">
      <c r="A43" s="23" t="s">
        <v>144</v>
      </c>
      <c r="B43" s="57" t="s">
        <v>199</v>
      </c>
      <c r="C43" s="24">
        <v>9</v>
      </c>
      <c r="D43" s="24">
        <v>6</v>
      </c>
      <c r="E43" s="24">
        <v>6</v>
      </c>
      <c r="F43" s="24">
        <v>9</v>
      </c>
      <c r="G43" s="49">
        <v>3.875</v>
      </c>
      <c r="H43" s="24">
        <v>302</v>
      </c>
    </row>
    <row r="44" spans="1:8" ht="18.75" x14ac:dyDescent="0.3">
      <c r="A44" s="23" t="s">
        <v>145</v>
      </c>
      <c r="B44" s="57" t="s">
        <v>199</v>
      </c>
      <c r="C44" s="24">
        <v>6</v>
      </c>
      <c r="D44" s="24">
        <v>6</v>
      </c>
      <c r="E44" s="24">
        <v>7</v>
      </c>
      <c r="F44" s="24">
        <v>9</v>
      </c>
      <c r="G44" s="49">
        <v>3.875</v>
      </c>
      <c r="H44" s="24"/>
    </row>
    <row r="45" spans="1:8" ht="18.75" x14ac:dyDescent="0.3">
      <c r="A45" s="23" t="s">
        <v>146</v>
      </c>
      <c r="B45" s="57" t="s">
        <v>199</v>
      </c>
      <c r="C45" s="24">
        <v>15</v>
      </c>
      <c r="D45" s="24">
        <v>5</v>
      </c>
      <c r="E45" s="24">
        <v>7</v>
      </c>
      <c r="F45" s="24">
        <v>9</v>
      </c>
      <c r="G45" s="49"/>
      <c r="H45" s="24"/>
    </row>
    <row r="46" spans="1:8" ht="18.75" x14ac:dyDescent="0.3">
      <c r="A46" s="23" t="s">
        <v>147</v>
      </c>
      <c r="B46" s="57" t="s">
        <v>199</v>
      </c>
      <c r="C46" s="24">
        <v>8</v>
      </c>
      <c r="D46" s="24">
        <v>5</v>
      </c>
      <c r="E46" s="24">
        <v>8</v>
      </c>
      <c r="F46" s="24">
        <v>9</v>
      </c>
      <c r="G46" s="49">
        <v>3.75</v>
      </c>
      <c r="H46" s="24">
        <v>283</v>
      </c>
    </row>
    <row r="47" spans="1:8" ht="18.75" x14ac:dyDescent="0.3">
      <c r="A47" s="23" t="s">
        <v>148</v>
      </c>
      <c r="B47" s="57" t="s">
        <v>199</v>
      </c>
      <c r="C47" s="24">
        <v>5</v>
      </c>
      <c r="D47" s="24">
        <v>5</v>
      </c>
      <c r="E47" s="24">
        <v>7</v>
      </c>
      <c r="F47" s="24">
        <v>9</v>
      </c>
      <c r="G47" s="49">
        <v>3.5</v>
      </c>
      <c r="H47" s="24"/>
    </row>
    <row r="48" spans="1:8" ht="18.75" x14ac:dyDescent="0.3">
      <c r="A48" s="23" t="s">
        <v>149</v>
      </c>
      <c r="B48" s="57" t="s">
        <v>199</v>
      </c>
      <c r="C48" s="24">
        <v>5</v>
      </c>
      <c r="D48" s="24">
        <v>4</v>
      </c>
      <c r="E48" s="24">
        <v>7</v>
      </c>
      <c r="F48" s="24">
        <v>9</v>
      </c>
      <c r="G48" s="49">
        <v>3.25</v>
      </c>
      <c r="H48" s="24">
        <v>252</v>
      </c>
    </row>
    <row r="49" spans="1:8" ht="18.75" x14ac:dyDescent="0.3">
      <c r="A49" s="23" t="s">
        <v>150</v>
      </c>
      <c r="B49" s="57" t="s">
        <v>199</v>
      </c>
      <c r="C49" s="24">
        <v>10</v>
      </c>
      <c r="D49" s="24">
        <v>4</v>
      </c>
      <c r="E49" s="24">
        <v>10</v>
      </c>
      <c r="F49" s="24">
        <v>9</v>
      </c>
      <c r="G49" s="49">
        <v>3.375</v>
      </c>
      <c r="H49" s="24">
        <v>90</v>
      </c>
    </row>
    <row r="50" spans="1:8" ht="18.75" x14ac:dyDescent="0.3">
      <c r="A50" s="23" t="s">
        <v>151</v>
      </c>
      <c r="B50" s="57" t="s">
        <v>199</v>
      </c>
      <c r="C50" s="24">
        <v>4</v>
      </c>
      <c r="D50" s="24">
        <v>3</v>
      </c>
      <c r="E50" s="24">
        <v>9</v>
      </c>
      <c r="F50" s="24">
        <v>9</v>
      </c>
      <c r="G50" s="49">
        <v>4.375</v>
      </c>
      <c r="H50" s="24">
        <v>244</v>
      </c>
    </row>
    <row r="51" spans="1:8" ht="18.75" x14ac:dyDescent="0.3">
      <c r="A51" s="23" t="s">
        <v>152</v>
      </c>
      <c r="B51" s="57" t="s">
        <v>199</v>
      </c>
      <c r="C51" s="24">
        <v>10</v>
      </c>
      <c r="D51" s="24">
        <v>7</v>
      </c>
      <c r="E51" s="24">
        <v>8</v>
      </c>
      <c r="F51" s="24">
        <v>9</v>
      </c>
      <c r="G51" s="49">
        <v>4.5</v>
      </c>
      <c r="H51" s="24">
        <v>226</v>
      </c>
    </row>
    <row r="52" spans="1:8" ht="18.75" x14ac:dyDescent="0.3">
      <c r="A52" s="23" t="s">
        <v>153</v>
      </c>
      <c r="B52" s="57" t="s">
        <v>199</v>
      </c>
      <c r="C52" s="24">
        <v>8</v>
      </c>
      <c r="D52" s="24">
        <v>7</v>
      </c>
      <c r="E52" s="24">
        <v>7</v>
      </c>
      <c r="F52" s="24">
        <v>8</v>
      </c>
      <c r="G52" s="49">
        <v>4.125</v>
      </c>
      <c r="H52" s="24">
        <v>206</v>
      </c>
    </row>
    <row r="53" spans="1:8" ht="18.75" x14ac:dyDescent="0.3">
      <c r="A53" s="23" t="s">
        <v>154</v>
      </c>
      <c r="B53" s="57" t="s">
        <v>199</v>
      </c>
      <c r="C53" s="24">
        <v>9</v>
      </c>
      <c r="D53" s="24">
        <v>5</v>
      </c>
      <c r="E53" s="24">
        <v>7</v>
      </c>
      <c r="F53" s="24">
        <v>8</v>
      </c>
      <c r="G53" s="49">
        <v>5</v>
      </c>
      <c r="H53" s="24">
        <v>298</v>
      </c>
    </row>
    <row r="54" spans="1:8" ht="18.75" x14ac:dyDescent="0.3">
      <c r="A54" s="23" t="s">
        <v>155</v>
      </c>
      <c r="B54" s="57" t="s">
        <v>199</v>
      </c>
      <c r="C54" s="24">
        <v>10</v>
      </c>
      <c r="D54" s="24">
        <v>5</v>
      </c>
      <c r="E54" s="24">
        <v>6</v>
      </c>
      <c r="F54" s="24">
        <v>8</v>
      </c>
      <c r="G54" s="49">
        <v>4.75</v>
      </c>
      <c r="H54" s="24">
        <v>247</v>
      </c>
    </row>
    <row r="55" spans="1:8" ht="18.75" x14ac:dyDescent="0.3">
      <c r="A55" s="23" t="s">
        <v>156</v>
      </c>
      <c r="B55" s="57" t="s">
        <v>199</v>
      </c>
      <c r="C55" s="24">
        <v>5</v>
      </c>
      <c r="D55" s="24">
        <v>5</v>
      </c>
      <c r="E55" s="24">
        <v>6</v>
      </c>
      <c r="F55" s="24">
        <v>8</v>
      </c>
      <c r="G55" s="49">
        <v>3.125</v>
      </c>
      <c r="H55" s="24">
        <v>267</v>
      </c>
    </row>
    <row r="56" spans="1:8" ht="18.75" x14ac:dyDescent="0.3">
      <c r="A56" s="23" t="s">
        <v>157</v>
      </c>
      <c r="B56" s="57" t="s">
        <v>199</v>
      </c>
      <c r="C56" s="24">
        <v>7</v>
      </c>
      <c r="D56" s="24">
        <v>5</v>
      </c>
      <c r="E56" s="24">
        <v>6</v>
      </c>
      <c r="F56" s="24">
        <v>8</v>
      </c>
      <c r="G56" s="49">
        <v>4.125</v>
      </c>
      <c r="H56" s="24"/>
    </row>
    <row r="57" spans="1:8" ht="18.75" x14ac:dyDescent="0.3">
      <c r="A57" s="23" t="s">
        <v>158</v>
      </c>
      <c r="B57" s="57" t="s">
        <v>199</v>
      </c>
      <c r="C57" s="24">
        <v>8</v>
      </c>
      <c r="D57" s="24">
        <v>5</v>
      </c>
      <c r="E57" s="24">
        <v>6</v>
      </c>
      <c r="F57" s="24">
        <v>8</v>
      </c>
      <c r="G57" s="49">
        <v>4.75</v>
      </c>
      <c r="H57" s="24"/>
    </row>
    <row r="58" spans="1:8" ht="18.75" x14ac:dyDescent="0.3">
      <c r="A58" s="23" t="s">
        <v>159</v>
      </c>
      <c r="B58" s="57" t="s">
        <v>199</v>
      </c>
      <c r="C58" s="24">
        <v>6</v>
      </c>
      <c r="D58" s="24">
        <v>5</v>
      </c>
      <c r="E58" s="24">
        <v>8</v>
      </c>
      <c r="F58" s="24">
        <v>8</v>
      </c>
      <c r="G58" s="49">
        <v>3.75</v>
      </c>
      <c r="H58" s="24">
        <v>292</v>
      </c>
    </row>
    <row r="59" spans="1:8" ht="18.75" x14ac:dyDescent="0.3">
      <c r="A59" s="23" t="s">
        <v>160</v>
      </c>
      <c r="B59" s="57" t="s">
        <v>199</v>
      </c>
      <c r="C59" s="24">
        <v>6</v>
      </c>
      <c r="D59" s="24">
        <v>4</v>
      </c>
      <c r="E59" s="24">
        <v>9</v>
      </c>
      <c r="F59" s="24">
        <v>8</v>
      </c>
      <c r="G59" s="49">
        <v>3.375</v>
      </c>
      <c r="H59" s="24"/>
    </row>
    <row r="60" spans="1:8" ht="18.75" x14ac:dyDescent="0.3">
      <c r="A60" s="23" t="s">
        <v>161</v>
      </c>
      <c r="B60" s="57" t="s">
        <v>199</v>
      </c>
      <c r="C60" s="24">
        <v>5</v>
      </c>
      <c r="D60" s="24">
        <v>4</v>
      </c>
      <c r="E60" s="24">
        <v>8</v>
      </c>
      <c r="F60" s="24">
        <v>8</v>
      </c>
      <c r="G60" s="49">
        <v>5</v>
      </c>
      <c r="H60" s="24">
        <v>245</v>
      </c>
    </row>
    <row r="61" spans="1:8" ht="18.75" x14ac:dyDescent="0.3">
      <c r="A61" s="23" t="s">
        <v>162</v>
      </c>
      <c r="B61" s="57" t="s">
        <v>199</v>
      </c>
      <c r="C61" s="24">
        <v>4</v>
      </c>
      <c r="D61" s="24">
        <v>3</v>
      </c>
      <c r="E61" s="24">
        <v>7</v>
      </c>
      <c r="F61" s="24">
        <v>8</v>
      </c>
      <c r="G61" s="49">
        <v>3.25</v>
      </c>
      <c r="H61" s="24">
        <v>252</v>
      </c>
    </row>
    <row r="62" spans="1:8" ht="18.75" x14ac:dyDescent="0.3">
      <c r="A62" s="23" t="s">
        <v>163</v>
      </c>
      <c r="B62" s="57" t="s">
        <v>199</v>
      </c>
      <c r="C62" s="24">
        <v>10</v>
      </c>
      <c r="D62" s="24">
        <v>8</v>
      </c>
      <c r="E62" s="24">
        <v>7</v>
      </c>
      <c r="F62" s="24">
        <v>7</v>
      </c>
      <c r="G62" s="49">
        <v>3.75</v>
      </c>
      <c r="H62" s="24">
        <v>203</v>
      </c>
    </row>
    <row r="63" spans="1:8" ht="18.75" x14ac:dyDescent="0.3">
      <c r="A63" s="23" t="s">
        <v>164</v>
      </c>
      <c r="B63" s="57" t="s">
        <v>199</v>
      </c>
      <c r="C63" s="24">
        <v>8</v>
      </c>
      <c r="D63" s="24">
        <v>8</v>
      </c>
      <c r="E63" s="24">
        <v>7</v>
      </c>
      <c r="F63" s="24">
        <v>7</v>
      </c>
      <c r="G63" s="49">
        <v>4.25</v>
      </c>
      <c r="H63" s="24">
        <v>236</v>
      </c>
    </row>
    <row r="64" spans="1:8" ht="18.75" x14ac:dyDescent="0.3">
      <c r="A64" s="23" t="s">
        <v>165</v>
      </c>
      <c r="B64" s="57" t="s">
        <v>199</v>
      </c>
      <c r="C64" s="24">
        <v>10</v>
      </c>
      <c r="D64" s="24">
        <v>6</v>
      </c>
      <c r="E64" s="24">
        <v>4</v>
      </c>
      <c r="F64" s="24">
        <v>7</v>
      </c>
      <c r="G64" s="49">
        <v>4.25</v>
      </c>
      <c r="H64" s="31"/>
    </row>
    <row r="65" spans="1:8" ht="18.75" x14ac:dyDescent="0.3">
      <c r="A65" s="23" t="s">
        <v>166</v>
      </c>
      <c r="B65" s="57" t="s">
        <v>199</v>
      </c>
      <c r="C65" s="24">
        <v>5</v>
      </c>
      <c r="D65" s="24">
        <v>4</v>
      </c>
      <c r="E65" s="24">
        <v>4</v>
      </c>
      <c r="F65" s="24">
        <v>7</v>
      </c>
      <c r="G65" s="49">
        <v>2.75</v>
      </c>
      <c r="H65" s="24"/>
    </row>
    <row r="66" spans="1:8" ht="18.75" x14ac:dyDescent="0.3">
      <c r="A66" s="23" t="s">
        <v>167</v>
      </c>
      <c r="B66" s="57" t="s">
        <v>199</v>
      </c>
      <c r="C66" s="24">
        <v>6</v>
      </c>
      <c r="D66" s="24">
        <v>4</v>
      </c>
      <c r="E66" s="24">
        <v>4</v>
      </c>
      <c r="F66" s="24">
        <v>7</v>
      </c>
      <c r="G66" s="49">
        <v>3.75</v>
      </c>
      <c r="H66" s="24"/>
    </row>
    <row r="67" spans="1:8" ht="18.75" x14ac:dyDescent="0.3">
      <c r="A67" s="23" t="s">
        <v>168</v>
      </c>
      <c r="B67" s="57" t="s">
        <v>199</v>
      </c>
      <c r="C67" s="24">
        <v>5</v>
      </c>
      <c r="D67" s="24">
        <v>2</v>
      </c>
      <c r="E67" s="24">
        <v>5</v>
      </c>
      <c r="F67" s="24">
        <v>7</v>
      </c>
      <c r="G67" s="49">
        <v>4.125</v>
      </c>
      <c r="H67" s="24">
        <v>229</v>
      </c>
    </row>
    <row r="68" spans="1:8" ht="18.75" x14ac:dyDescent="0.3">
      <c r="A68" s="23" t="s">
        <v>169</v>
      </c>
      <c r="B68" s="57" t="s">
        <v>199</v>
      </c>
      <c r="C68" s="24">
        <v>8</v>
      </c>
      <c r="D68" s="24">
        <v>8</v>
      </c>
      <c r="E68" s="24">
        <v>5</v>
      </c>
      <c r="F68" s="24">
        <v>6</v>
      </c>
      <c r="G68" s="49">
        <v>3.375</v>
      </c>
      <c r="H68" s="24">
        <v>292</v>
      </c>
    </row>
    <row r="69" spans="1:8" ht="18.75" x14ac:dyDescent="0.3">
      <c r="A69" s="23" t="s">
        <v>170</v>
      </c>
      <c r="B69" s="57" t="s">
        <v>199</v>
      </c>
      <c r="C69" s="24">
        <v>5</v>
      </c>
      <c r="D69" s="24">
        <v>4</v>
      </c>
      <c r="E69" s="24">
        <v>8</v>
      </c>
      <c r="F69" s="24">
        <v>6</v>
      </c>
      <c r="G69" s="49">
        <v>5</v>
      </c>
      <c r="H69" s="24">
        <v>238</v>
      </c>
    </row>
    <row r="70" spans="1:8" ht="18.75" x14ac:dyDescent="0.3">
      <c r="A70" s="23" t="s">
        <v>171</v>
      </c>
      <c r="B70" s="57" t="s">
        <v>199</v>
      </c>
      <c r="C70" s="24">
        <v>5</v>
      </c>
      <c r="D70" s="24">
        <v>5</v>
      </c>
      <c r="E70" s="24">
        <v>6</v>
      </c>
      <c r="F70" s="24">
        <v>4</v>
      </c>
      <c r="G70" s="49">
        <v>4.125</v>
      </c>
      <c r="H70" s="24">
        <v>240</v>
      </c>
    </row>
    <row r="71" spans="1:8" ht="18.75" x14ac:dyDescent="0.3">
      <c r="A71" s="23" t="s">
        <v>172</v>
      </c>
      <c r="B71" s="57" t="s">
        <v>199</v>
      </c>
      <c r="C71" s="24">
        <v>6</v>
      </c>
      <c r="D71" s="24">
        <v>5</v>
      </c>
      <c r="E71" s="24">
        <v>4</v>
      </c>
      <c r="F71" s="24">
        <v>3</v>
      </c>
      <c r="G71" s="49">
        <v>4.125</v>
      </c>
      <c r="H71" s="24">
        <v>233</v>
      </c>
    </row>
    <row r="72" spans="1:8" ht="18.75" x14ac:dyDescent="0.3">
      <c r="A72" s="23" t="s">
        <v>173</v>
      </c>
      <c r="B72" s="57" t="s">
        <v>199</v>
      </c>
      <c r="C72" s="24"/>
      <c r="D72" s="24"/>
      <c r="E72" s="24"/>
      <c r="F72" s="24"/>
      <c r="G72" s="49"/>
      <c r="H72" s="24">
        <v>244</v>
      </c>
    </row>
    <row r="73" spans="1:8" ht="19.5" thickBot="1" x14ac:dyDescent="0.35">
      <c r="A73" s="23" t="s">
        <v>174</v>
      </c>
      <c r="B73" s="57" t="s">
        <v>199</v>
      </c>
      <c r="C73" s="24"/>
      <c r="D73" s="24"/>
      <c r="E73" s="24"/>
      <c r="F73" s="24"/>
      <c r="G73" s="49"/>
      <c r="H73" s="24">
        <v>288</v>
      </c>
    </row>
    <row r="74" spans="1:8" ht="19.5" thickBot="1" x14ac:dyDescent="0.35">
      <c r="A74" s="58" t="s">
        <v>63</v>
      </c>
      <c r="B74" s="60"/>
      <c r="C74" s="59">
        <f>AVERAGE(C2:C73)</f>
        <v>7.9142857142857146</v>
      </c>
      <c r="D74" s="30">
        <f t="shared" ref="D74:H74" si="0">AVERAGE(D2:D73)</f>
        <v>5.371428571428571</v>
      </c>
      <c r="E74" s="30">
        <f t="shared" si="0"/>
        <v>7.5428571428571427</v>
      </c>
      <c r="F74" s="30">
        <f t="shared" si="0"/>
        <v>8.9142857142857146</v>
      </c>
      <c r="G74" s="51">
        <f t="shared" si="0"/>
        <v>3.8992537313432836</v>
      </c>
      <c r="H74" s="53">
        <f t="shared" si="0"/>
        <v>245.83018867924528</v>
      </c>
    </row>
    <row r="75" spans="1:8" ht="18.75" x14ac:dyDescent="0.3">
      <c r="A75" s="23" t="s">
        <v>175</v>
      </c>
      <c r="B75" s="57" t="s">
        <v>100</v>
      </c>
      <c r="C75" s="29">
        <v>10</v>
      </c>
      <c r="D75" s="29">
        <v>8</v>
      </c>
      <c r="E75" s="29">
        <v>9</v>
      </c>
      <c r="F75" s="29">
        <v>10</v>
      </c>
      <c r="G75" s="52"/>
      <c r="H75" s="27"/>
    </row>
    <row r="76" spans="1:8" ht="18.75" x14ac:dyDescent="0.3">
      <c r="A76" s="23" t="s">
        <v>176</v>
      </c>
      <c r="B76" s="57" t="s">
        <v>100</v>
      </c>
      <c r="C76" s="26">
        <v>8</v>
      </c>
      <c r="D76" s="26">
        <v>7</v>
      </c>
      <c r="E76" s="26">
        <v>8</v>
      </c>
      <c r="F76" s="26">
        <v>9</v>
      </c>
      <c r="G76" s="52"/>
      <c r="H76" s="27"/>
    </row>
    <row r="77" spans="1:8" ht="18.75" x14ac:dyDescent="0.3">
      <c r="A77" s="23" t="s">
        <v>177</v>
      </c>
      <c r="B77" s="57" t="s">
        <v>100</v>
      </c>
      <c r="C77" s="26">
        <v>7</v>
      </c>
      <c r="D77" s="26">
        <v>7</v>
      </c>
      <c r="E77" s="26">
        <v>6</v>
      </c>
      <c r="F77" s="26">
        <v>9</v>
      </c>
      <c r="G77" s="52"/>
      <c r="H77" s="27"/>
    </row>
    <row r="78" spans="1:8" ht="18.75" x14ac:dyDescent="0.3">
      <c r="A78" s="23" t="s">
        <v>178</v>
      </c>
      <c r="B78" s="57" t="s">
        <v>100</v>
      </c>
      <c r="C78" s="26">
        <v>12</v>
      </c>
      <c r="D78" s="26">
        <v>9</v>
      </c>
      <c r="E78" s="26">
        <v>7</v>
      </c>
      <c r="F78" s="26">
        <v>8</v>
      </c>
      <c r="G78" s="52"/>
      <c r="H78" s="27"/>
    </row>
    <row r="79" spans="1:8" ht="18.75" x14ac:dyDescent="0.3">
      <c r="A79" s="23" t="s">
        <v>179</v>
      </c>
      <c r="B79" s="57" t="s">
        <v>100</v>
      </c>
      <c r="C79" s="26">
        <v>7</v>
      </c>
      <c r="D79" s="26">
        <v>5</v>
      </c>
      <c r="E79" s="26">
        <v>6</v>
      </c>
      <c r="F79" s="26">
        <v>8</v>
      </c>
      <c r="G79" s="52"/>
      <c r="H79" s="27"/>
    </row>
    <row r="80" spans="1:8" ht="18.75" x14ac:dyDescent="0.3">
      <c r="A80" s="23" t="s">
        <v>180</v>
      </c>
      <c r="B80" s="57" t="s">
        <v>100</v>
      </c>
      <c r="C80" s="26">
        <v>13</v>
      </c>
      <c r="D80" s="26">
        <v>9</v>
      </c>
      <c r="E80" s="26">
        <v>9</v>
      </c>
      <c r="F80" s="26">
        <v>7</v>
      </c>
      <c r="G80" s="52"/>
      <c r="H80" s="27"/>
    </row>
    <row r="81" spans="1:8" ht="18.75" x14ac:dyDescent="0.3">
      <c r="A81" s="23" t="s">
        <v>181</v>
      </c>
      <c r="B81" s="57" t="s">
        <v>100</v>
      </c>
      <c r="C81" s="26">
        <v>10</v>
      </c>
      <c r="D81" s="26">
        <v>8</v>
      </c>
      <c r="E81" s="26">
        <v>8</v>
      </c>
      <c r="F81" s="26">
        <v>7</v>
      </c>
      <c r="G81" s="52"/>
      <c r="H81" s="27"/>
    </row>
    <row r="82" spans="1:8" ht="18.75" x14ac:dyDescent="0.3">
      <c r="A82" s="23" t="s">
        <v>182</v>
      </c>
      <c r="B82" s="57" t="s">
        <v>100</v>
      </c>
      <c r="C82" s="28">
        <v>10</v>
      </c>
      <c r="D82" s="28">
        <v>7</v>
      </c>
      <c r="E82" s="28">
        <v>5</v>
      </c>
      <c r="F82" s="28">
        <v>7</v>
      </c>
      <c r="G82" s="52"/>
      <c r="H82" s="27"/>
    </row>
    <row r="83" spans="1:8" ht="18.75" x14ac:dyDescent="0.3">
      <c r="A83" s="23" t="s">
        <v>183</v>
      </c>
      <c r="B83" s="57" t="s">
        <v>100</v>
      </c>
      <c r="C83" s="26">
        <v>6</v>
      </c>
      <c r="D83" s="26">
        <v>8</v>
      </c>
      <c r="E83" s="26">
        <v>7</v>
      </c>
      <c r="F83" s="26">
        <v>6</v>
      </c>
      <c r="G83" s="52"/>
      <c r="H83" s="27"/>
    </row>
    <row r="84" spans="1:8" ht="18.75" x14ac:dyDescent="0.3">
      <c r="A84" s="23" t="s">
        <v>184</v>
      </c>
      <c r="B84" s="57" t="s">
        <v>100</v>
      </c>
      <c r="C84" s="26">
        <v>6</v>
      </c>
      <c r="D84" s="26">
        <v>7</v>
      </c>
      <c r="E84" s="26">
        <v>6</v>
      </c>
      <c r="F84" s="26">
        <v>6</v>
      </c>
      <c r="G84" s="52"/>
      <c r="H84" s="27"/>
    </row>
    <row r="85" spans="1:8" ht="18.75" x14ac:dyDescent="0.3">
      <c r="A85" s="23" t="s">
        <v>185</v>
      </c>
      <c r="B85" s="57" t="s">
        <v>100</v>
      </c>
      <c r="C85" s="26">
        <v>11</v>
      </c>
      <c r="D85" s="26">
        <v>11</v>
      </c>
      <c r="E85" s="26">
        <v>6</v>
      </c>
      <c r="F85" s="26">
        <v>6</v>
      </c>
      <c r="G85" s="52"/>
      <c r="H85" s="27"/>
    </row>
    <row r="86" spans="1:8" ht="18.75" x14ac:dyDescent="0.3">
      <c r="A86" s="23" t="s">
        <v>186</v>
      </c>
      <c r="B86" s="57" t="s">
        <v>100</v>
      </c>
      <c r="C86" s="26">
        <v>6</v>
      </c>
      <c r="D86" s="26">
        <v>6</v>
      </c>
      <c r="E86" s="26">
        <v>8</v>
      </c>
      <c r="F86" s="26">
        <v>6</v>
      </c>
      <c r="G86" s="52"/>
      <c r="H86" s="27"/>
    </row>
    <row r="87" spans="1:8" ht="21.75" customHeight="1" x14ac:dyDescent="0.3">
      <c r="A87" s="120" t="s">
        <v>63</v>
      </c>
      <c r="B87" s="120"/>
      <c r="C87" s="118">
        <f>AVERAGE(C75:C86)</f>
        <v>8.8333333333333339</v>
      </c>
      <c r="D87" s="118">
        <f t="shared" ref="D87:F87" si="1">AVERAGE(D75:D86)</f>
        <v>7.666666666666667</v>
      </c>
      <c r="E87" s="118">
        <f t="shared" si="1"/>
        <v>7.083333333333333</v>
      </c>
      <c r="F87" s="118">
        <f t="shared" si="1"/>
        <v>7.416666666666667</v>
      </c>
      <c r="G87" s="119"/>
      <c r="H87" s="118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18EB-7415-40A1-8D93-54FF1197D4C1}">
  <dimension ref="A1:AC87"/>
  <sheetViews>
    <sheetView tabSelected="1" topLeftCell="A15" zoomScale="68" zoomScaleNormal="68" workbookViewId="0">
      <selection activeCell="B74" sqref="B74"/>
    </sheetView>
  </sheetViews>
  <sheetFormatPr defaultColWidth="8.85546875" defaultRowHeight="15" x14ac:dyDescent="0.25"/>
  <cols>
    <col min="1" max="1" width="24.28515625" bestFit="1" customWidth="1"/>
    <col min="2" max="2" width="10.140625" customWidth="1"/>
    <col min="3" max="3" width="12.7109375" customWidth="1"/>
    <col min="4" max="4" width="9.28515625" customWidth="1"/>
    <col min="5" max="5" width="9.85546875" customWidth="1"/>
    <col min="6" max="6" width="9.7109375" customWidth="1"/>
    <col min="7" max="7" width="9.85546875" customWidth="1"/>
    <col min="8" max="8" width="8.42578125" customWidth="1"/>
    <col min="9" max="9" width="9.42578125" customWidth="1"/>
    <col min="10" max="10" width="13.85546875" customWidth="1"/>
    <col min="12" max="12" width="28.140625" customWidth="1"/>
    <col min="13" max="13" width="13.7109375" customWidth="1"/>
    <col min="14" max="14" width="13" customWidth="1"/>
    <col min="15" max="15" width="13.42578125" customWidth="1"/>
    <col min="16" max="16" width="18.85546875" bestFit="1" customWidth="1"/>
    <col min="17" max="17" width="20" bestFit="1" customWidth="1"/>
    <col min="18" max="18" width="56" customWidth="1"/>
    <col min="22" max="22" width="13.42578125" bestFit="1" customWidth="1"/>
    <col min="24" max="24" width="18.42578125" bestFit="1" customWidth="1"/>
    <col min="25" max="25" width="9.85546875" bestFit="1" customWidth="1"/>
    <col min="26" max="26" width="10" bestFit="1" customWidth="1"/>
    <col min="27" max="27" width="10.42578125" customWidth="1"/>
    <col min="28" max="29" width="15.7109375" bestFit="1" customWidth="1"/>
    <col min="30" max="30" width="9.140625" customWidth="1"/>
  </cols>
  <sheetData>
    <row r="1" spans="1:18" ht="45" customHeight="1" x14ac:dyDescent="0.25">
      <c r="A1" s="55" t="s">
        <v>102</v>
      </c>
      <c r="B1" s="45" t="s">
        <v>187</v>
      </c>
      <c r="C1" s="45" t="s">
        <v>188</v>
      </c>
      <c r="D1" s="45" t="s">
        <v>189</v>
      </c>
      <c r="E1" s="45" t="s">
        <v>190</v>
      </c>
      <c r="F1" s="45" t="s">
        <v>191</v>
      </c>
      <c r="G1" s="45" t="s">
        <v>192</v>
      </c>
      <c r="H1" s="45" t="s">
        <v>193</v>
      </c>
      <c r="I1" s="45" t="s">
        <v>194</v>
      </c>
      <c r="J1" s="56" t="s">
        <v>63</v>
      </c>
    </row>
    <row r="2" spans="1:18" ht="20.25" x14ac:dyDescent="0.3">
      <c r="A2" s="9" t="s">
        <v>103</v>
      </c>
      <c r="B2" s="5">
        <v>3</v>
      </c>
      <c r="C2" s="5">
        <v>3</v>
      </c>
      <c r="D2" s="5">
        <v>5</v>
      </c>
      <c r="E2" s="5">
        <v>2</v>
      </c>
      <c r="F2" s="5">
        <v>4</v>
      </c>
      <c r="G2" s="5">
        <v>4</v>
      </c>
      <c r="H2" s="5">
        <v>5</v>
      </c>
      <c r="I2" s="10">
        <v>3</v>
      </c>
      <c r="J2" s="33">
        <f>AVERAGE(B2:I2)</f>
        <v>3.625</v>
      </c>
    </row>
    <row r="3" spans="1:18" ht="20.25" x14ac:dyDescent="0.3">
      <c r="A3" s="9" t="s">
        <v>104</v>
      </c>
      <c r="B3" s="5">
        <v>5</v>
      </c>
      <c r="C3" s="5">
        <v>3</v>
      </c>
      <c r="D3" s="5">
        <v>5</v>
      </c>
      <c r="E3" s="5">
        <v>5</v>
      </c>
      <c r="F3" s="5">
        <v>3</v>
      </c>
      <c r="G3" s="5">
        <v>5</v>
      </c>
      <c r="H3" s="5">
        <v>5</v>
      </c>
      <c r="I3" s="10">
        <v>4</v>
      </c>
      <c r="J3" s="33">
        <f t="shared" ref="J3:J66" si="0">AVERAGE(B3:I3)</f>
        <v>4.375</v>
      </c>
    </row>
    <row r="4" spans="1:18" ht="20.25" x14ac:dyDescent="0.3">
      <c r="A4" s="9" t="s">
        <v>105</v>
      </c>
      <c r="B4" s="5">
        <v>5</v>
      </c>
      <c r="C4" s="5">
        <v>3</v>
      </c>
      <c r="D4" s="5">
        <v>5</v>
      </c>
      <c r="E4" s="5">
        <v>5</v>
      </c>
      <c r="F4" s="5">
        <v>5</v>
      </c>
      <c r="G4" s="5">
        <v>5</v>
      </c>
      <c r="H4" s="5">
        <v>5</v>
      </c>
      <c r="I4" s="10">
        <v>3</v>
      </c>
      <c r="J4" s="33">
        <f t="shared" si="0"/>
        <v>4.5</v>
      </c>
    </row>
    <row r="5" spans="1:18" ht="20.25" x14ac:dyDescent="0.3">
      <c r="A5" s="9" t="s">
        <v>106</v>
      </c>
      <c r="B5" s="5">
        <v>5</v>
      </c>
      <c r="C5" s="5">
        <v>3</v>
      </c>
      <c r="D5" s="5">
        <v>5</v>
      </c>
      <c r="E5" s="5">
        <v>3</v>
      </c>
      <c r="F5" s="5">
        <v>5</v>
      </c>
      <c r="G5" s="5">
        <v>5</v>
      </c>
      <c r="H5" s="5">
        <v>4</v>
      </c>
      <c r="I5" s="10">
        <v>4</v>
      </c>
      <c r="J5" s="33">
        <f t="shared" si="0"/>
        <v>4.25</v>
      </c>
    </row>
    <row r="6" spans="1:18" ht="20.25" x14ac:dyDescent="0.3">
      <c r="A6" s="9" t="s">
        <v>107</v>
      </c>
      <c r="B6" s="5">
        <v>1</v>
      </c>
      <c r="C6" s="5">
        <v>3</v>
      </c>
      <c r="D6" s="5">
        <v>3</v>
      </c>
      <c r="E6" s="5">
        <v>2</v>
      </c>
      <c r="F6" s="5">
        <v>4</v>
      </c>
      <c r="G6" s="5">
        <v>1</v>
      </c>
      <c r="H6" s="5">
        <v>1</v>
      </c>
      <c r="I6" s="10">
        <v>2</v>
      </c>
      <c r="J6" s="33">
        <f t="shared" si="0"/>
        <v>2.125</v>
      </c>
    </row>
    <row r="7" spans="1:18" ht="20.25" x14ac:dyDescent="0.3">
      <c r="A7" s="9" t="s">
        <v>108</v>
      </c>
      <c r="B7" s="5">
        <v>5</v>
      </c>
      <c r="C7" s="5">
        <v>3</v>
      </c>
      <c r="D7" s="5">
        <v>5</v>
      </c>
      <c r="E7" s="5">
        <v>4</v>
      </c>
      <c r="F7" s="5">
        <v>5</v>
      </c>
      <c r="G7" s="5">
        <v>5</v>
      </c>
      <c r="H7" s="5">
        <v>5</v>
      </c>
      <c r="I7" s="10">
        <v>5</v>
      </c>
      <c r="J7" s="33">
        <f t="shared" si="0"/>
        <v>4.625</v>
      </c>
      <c r="L7" s="140" t="s">
        <v>93</v>
      </c>
      <c r="M7" s="141"/>
      <c r="N7" s="141"/>
      <c r="O7" s="141"/>
      <c r="P7" s="142"/>
    </row>
    <row r="8" spans="1:18" ht="20.25" x14ac:dyDescent="0.3">
      <c r="A8" s="9" t="s">
        <v>109</v>
      </c>
      <c r="B8" s="5">
        <v>5</v>
      </c>
      <c r="C8" s="5">
        <v>5</v>
      </c>
      <c r="D8" s="5">
        <v>5</v>
      </c>
      <c r="E8" s="5">
        <v>2</v>
      </c>
      <c r="F8" s="5">
        <v>4</v>
      </c>
      <c r="G8" s="5">
        <v>5</v>
      </c>
      <c r="H8" s="5">
        <v>5</v>
      </c>
      <c r="I8" s="10">
        <v>4</v>
      </c>
      <c r="J8" s="33">
        <f t="shared" si="0"/>
        <v>4.375</v>
      </c>
      <c r="L8" s="46">
        <v>1</v>
      </c>
      <c r="M8" s="46">
        <v>2</v>
      </c>
      <c r="N8" s="46">
        <v>3</v>
      </c>
      <c r="O8" s="46">
        <v>4</v>
      </c>
      <c r="P8" s="46">
        <v>5</v>
      </c>
    </row>
    <row r="9" spans="1:18" ht="20.25" x14ac:dyDescent="0.3">
      <c r="A9" s="9" t="s">
        <v>110</v>
      </c>
      <c r="B9" s="5"/>
      <c r="C9" s="5"/>
      <c r="D9" s="5"/>
      <c r="E9" s="5"/>
      <c r="F9" s="5"/>
      <c r="G9" s="5"/>
      <c r="H9" s="5"/>
      <c r="I9" s="10"/>
      <c r="J9" s="33"/>
      <c r="L9" s="47" t="s">
        <v>94</v>
      </c>
      <c r="M9" s="48" t="s">
        <v>67</v>
      </c>
      <c r="N9" s="48" t="s">
        <v>68</v>
      </c>
      <c r="O9" s="48" t="s">
        <v>69</v>
      </c>
      <c r="P9" s="48" t="s">
        <v>70</v>
      </c>
    </row>
    <row r="10" spans="1:18" ht="20.25" x14ac:dyDescent="0.3">
      <c r="A10" s="9" t="s">
        <v>111</v>
      </c>
      <c r="B10" s="5">
        <v>3</v>
      </c>
      <c r="C10" s="5">
        <v>3</v>
      </c>
      <c r="D10" s="5">
        <v>5</v>
      </c>
      <c r="E10" s="5">
        <v>5</v>
      </c>
      <c r="F10" s="5">
        <v>4</v>
      </c>
      <c r="G10" s="5">
        <v>5</v>
      </c>
      <c r="H10" s="5">
        <v>5</v>
      </c>
      <c r="I10" s="10">
        <v>5</v>
      </c>
      <c r="J10" s="33">
        <f t="shared" si="0"/>
        <v>4.375</v>
      </c>
    </row>
    <row r="11" spans="1:18" ht="20.25" x14ac:dyDescent="0.3">
      <c r="A11" s="9" t="s">
        <v>112</v>
      </c>
      <c r="B11" s="5">
        <v>1</v>
      </c>
      <c r="C11" s="5">
        <v>4</v>
      </c>
      <c r="D11" s="5">
        <v>3</v>
      </c>
      <c r="E11" s="5">
        <v>4</v>
      </c>
      <c r="F11" s="5">
        <v>5</v>
      </c>
      <c r="G11" s="5">
        <v>5</v>
      </c>
      <c r="H11" s="5">
        <v>5</v>
      </c>
      <c r="I11" s="10">
        <v>5</v>
      </c>
      <c r="J11" s="33">
        <f t="shared" si="0"/>
        <v>4</v>
      </c>
    </row>
    <row r="12" spans="1:18" ht="20.25" x14ac:dyDescent="0.3">
      <c r="A12" s="9" t="s">
        <v>113</v>
      </c>
      <c r="B12" s="5">
        <v>4</v>
      </c>
      <c r="C12" s="5">
        <v>2</v>
      </c>
      <c r="D12" s="5">
        <v>4</v>
      </c>
      <c r="E12" s="5">
        <v>2</v>
      </c>
      <c r="F12" s="5">
        <v>4</v>
      </c>
      <c r="G12" s="5">
        <v>5</v>
      </c>
      <c r="H12" s="5">
        <v>5</v>
      </c>
      <c r="I12" s="10">
        <v>4</v>
      </c>
      <c r="J12" s="33">
        <f t="shared" si="0"/>
        <v>3.75</v>
      </c>
      <c r="L12" s="37" t="s">
        <v>195</v>
      </c>
      <c r="M12" s="143" t="s">
        <v>80</v>
      </c>
      <c r="N12" s="144"/>
      <c r="O12" s="144"/>
      <c r="P12" s="144"/>
      <c r="Q12" s="144"/>
      <c r="R12" s="145"/>
    </row>
    <row r="13" spans="1:18" ht="20.25" x14ac:dyDescent="0.3">
      <c r="A13" s="9" t="s">
        <v>114</v>
      </c>
      <c r="B13" s="5">
        <v>5</v>
      </c>
      <c r="C13" s="5">
        <v>5</v>
      </c>
      <c r="D13" s="5">
        <v>4</v>
      </c>
      <c r="E13" s="5">
        <v>3</v>
      </c>
      <c r="F13" s="5">
        <v>5</v>
      </c>
      <c r="G13" s="5">
        <v>4</v>
      </c>
      <c r="H13" s="5">
        <v>4</v>
      </c>
      <c r="I13" s="10">
        <v>4</v>
      </c>
      <c r="J13" s="33">
        <f t="shared" si="0"/>
        <v>4.25</v>
      </c>
      <c r="L13" s="38">
        <v>1</v>
      </c>
      <c r="M13" s="146" t="s">
        <v>81</v>
      </c>
      <c r="N13" s="146"/>
      <c r="O13" s="146"/>
      <c r="P13" s="146"/>
      <c r="Q13" s="146"/>
      <c r="R13" s="146"/>
    </row>
    <row r="14" spans="1:18" ht="20.25" x14ac:dyDescent="0.3">
      <c r="A14" s="9" t="s">
        <v>115</v>
      </c>
      <c r="B14" s="5">
        <v>5</v>
      </c>
      <c r="C14" s="5">
        <v>3</v>
      </c>
      <c r="D14" s="5">
        <v>3</v>
      </c>
      <c r="E14" s="5">
        <v>3</v>
      </c>
      <c r="F14" s="5">
        <v>5</v>
      </c>
      <c r="G14" s="5">
        <v>3</v>
      </c>
      <c r="H14" s="5">
        <v>5</v>
      </c>
      <c r="I14" s="10">
        <v>3</v>
      </c>
      <c r="J14" s="33">
        <f t="shared" si="0"/>
        <v>3.75</v>
      </c>
      <c r="L14" s="37" t="s">
        <v>95</v>
      </c>
      <c r="M14" s="146" t="s">
        <v>96</v>
      </c>
      <c r="N14" s="146"/>
      <c r="O14" s="146"/>
      <c r="P14" s="146"/>
      <c r="Q14" s="146"/>
      <c r="R14" s="146"/>
    </row>
    <row r="15" spans="1:18" ht="20.25" x14ac:dyDescent="0.3">
      <c r="A15" s="9" t="s">
        <v>116</v>
      </c>
      <c r="B15" s="5"/>
      <c r="C15" s="5"/>
      <c r="D15" s="5"/>
      <c r="E15" s="5"/>
      <c r="F15" s="5"/>
      <c r="G15" s="5"/>
      <c r="H15" s="5"/>
      <c r="I15" s="10"/>
      <c r="J15" s="33"/>
      <c r="L15" s="37">
        <v>3</v>
      </c>
      <c r="M15" s="146" t="s">
        <v>82</v>
      </c>
      <c r="N15" s="146"/>
      <c r="O15" s="146"/>
      <c r="P15" s="146"/>
      <c r="Q15" s="146"/>
      <c r="R15" s="146"/>
    </row>
    <row r="16" spans="1:18" ht="20.25" x14ac:dyDescent="0.3">
      <c r="A16" s="9" t="s">
        <v>117</v>
      </c>
      <c r="B16" s="5">
        <v>5</v>
      </c>
      <c r="C16" s="5">
        <v>4</v>
      </c>
      <c r="D16" s="5">
        <v>5</v>
      </c>
      <c r="E16" s="5">
        <v>2</v>
      </c>
      <c r="F16" s="5">
        <v>4</v>
      </c>
      <c r="G16" s="5">
        <v>4</v>
      </c>
      <c r="H16" s="5">
        <v>4</v>
      </c>
      <c r="I16" s="10">
        <v>3</v>
      </c>
      <c r="J16" s="33">
        <f t="shared" si="0"/>
        <v>3.875</v>
      </c>
      <c r="L16" s="37">
        <v>4</v>
      </c>
      <c r="M16" s="146" t="s">
        <v>83</v>
      </c>
      <c r="N16" s="146"/>
      <c r="O16" s="146"/>
      <c r="P16" s="146"/>
      <c r="Q16" s="146"/>
      <c r="R16" s="146"/>
    </row>
    <row r="17" spans="1:28" ht="20.25" x14ac:dyDescent="0.3">
      <c r="A17" s="9" t="s">
        <v>118</v>
      </c>
      <c r="B17" s="5">
        <v>3</v>
      </c>
      <c r="C17" s="5">
        <v>3</v>
      </c>
      <c r="D17" s="5">
        <v>4</v>
      </c>
      <c r="E17" s="5">
        <v>3</v>
      </c>
      <c r="F17" s="5">
        <v>5</v>
      </c>
      <c r="G17" s="5">
        <v>5</v>
      </c>
      <c r="H17" s="5">
        <v>5</v>
      </c>
      <c r="I17" s="10">
        <v>5</v>
      </c>
      <c r="J17" s="33">
        <f t="shared" si="0"/>
        <v>4.125</v>
      </c>
      <c r="L17" s="37">
        <v>5</v>
      </c>
      <c r="M17" s="146" t="s">
        <v>84</v>
      </c>
      <c r="N17" s="146"/>
      <c r="O17" s="146"/>
      <c r="P17" s="146"/>
      <c r="Q17" s="146"/>
      <c r="R17" s="146"/>
    </row>
    <row r="18" spans="1:28" ht="20.25" x14ac:dyDescent="0.3">
      <c r="A18" s="9" t="s">
        <v>119</v>
      </c>
      <c r="B18" s="5">
        <v>4</v>
      </c>
      <c r="C18" s="5">
        <v>3</v>
      </c>
      <c r="D18" s="5">
        <v>4</v>
      </c>
      <c r="E18" s="5">
        <v>3</v>
      </c>
      <c r="F18" s="5">
        <v>4</v>
      </c>
      <c r="G18" s="5">
        <v>5</v>
      </c>
      <c r="H18" s="5">
        <v>3</v>
      </c>
      <c r="I18" s="10">
        <v>3</v>
      </c>
      <c r="J18" s="33">
        <f t="shared" si="0"/>
        <v>3.625</v>
      </c>
      <c r="L18" s="37">
        <v>6</v>
      </c>
      <c r="M18" s="146" t="s">
        <v>85</v>
      </c>
      <c r="N18" s="146"/>
      <c r="O18" s="146"/>
      <c r="P18" s="146"/>
      <c r="Q18" s="146"/>
      <c r="R18" s="146"/>
    </row>
    <row r="19" spans="1:28" ht="20.25" x14ac:dyDescent="0.3">
      <c r="A19" s="9" t="s">
        <v>120</v>
      </c>
      <c r="B19" s="5">
        <v>4</v>
      </c>
      <c r="C19" s="5">
        <v>4</v>
      </c>
      <c r="D19" s="5">
        <v>4</v>
      </c>
      <c r="E19" s="5">
        <v>4</v>
      </c>
      <c r="F19" s="5">
        <v>5</v>
      </c>
      <c r="G19" s="5">
        <v>5</v>
      </c>
      <c r="H19" s="5">
        <v>5</v>
      </c>
      <c r="I19" s="10">
        <v>5</v>
      </c>
      <c r="J19" s="33">
        <f t="shared" si="0"/>
        <v>4.5</v>
      </c>
      <c r="L19" s="37">
        <v>7</v>
      </c>
      <c r="M19" s="146" t="s">
        <v>86</v>
      </c>
      <c r="N19" s="146"/>
      <c r="O19" s="146"/>
      <c r="P19" s="146"/>
      <c r="Q19" s="146"/>
      <c r="R19" s="146"/>
    </row>
    <row r="20" spans="1:28" ht="20.25" x14ac:dyDescent="0.3">
      <c r="A20" s="9" t="s">
        <v>121</v>
      </c>
      <c r="B20" s="5">
        <v>2</v>
      </c>
      <c r="C20" s="5">
        <v>5</v>
      </c>
      <c r="D20" s="5">
        <v>5</v>
      </c>
      <c r="E20" s="5">
        <v>5</v>
      </c>
      <c r="F20" s="5">
        <v>4</v>
      </c>
      <c r="G20" s="5">
        <v>5</v>
      </c>
      <c r="H20" s="5">
        <v>4</v>
      </c>
      <c r="I20" s="10">
        <v>3</v>
      </c>
      <c r="J20" s="33">
        <f t="shared" si="0"/>
        <v>4.125</v>
      </c>
      <c r="L20" s="37">
        <v>8</v>
      </c>
      <c r="M20" s="146" t="s">
        <v>87</v>
      </c>
      <c r="N20" s="146"/>
      <c r="O20" s="146"/>
      <c r="P20" s="146"/>
      <c r="Q20" s="146"/>
      <c r="R20" s="146"/>
    </row>
    <row r="21" spans="1:28" ht="20.25" x14ac:dyDescent="0.3">
      <c r="A21" s="9" t="s">
        <v>122</v>
      </c>
      <c r="B21" s="5">
        <v>2</v>
      </c>
      <c r="C21" s="5">
        <v>2</v>
      </c>
      <c r="D21" s="5">
        <v>3</v>
      </c>
      <c r="E21" s="5">
        <v>3</v>
      </c>
      <c r="F21" s="5">
        <v>3</v>
      </c>
      <c r="G21" s="5">
        <v>2</v>
      </c>
      <c r="H21" s="5">
        <v>4</v>
      </c>
      <c r="I21" s="10">
        <v>3</v>
      </c>
      <c r="J21" s="33">
        <f t="shared" si="0"/>
        <v>2.75</v>
      </c>
    </row>
    <row r="22" spans="1:28" ht="40.5" x14ac:dyDescent="0.3">
      <c r="A22" s="9" t="s">
        <v>123</v>
      </c>
      <c r="B22" s="5">
        <v>3</v>
      </c>
      <c r="C22" s="5">
        <v>2</v>
      </c>
      <c r="D22" s="5">
        <v>4</v>
      </c>
      <c r="E22" s="5">
        <v>5</v>
      </c>
      <c r="F22" s="5">
        <v>3</v>
      </c>
      <c r="G22" s="5">
        <v>3</v>
      </c>
      <c r="H22" s="5">
        <v>3</v>
      </c>
      <c r="I22" s="10">
        <v>4</v>
      </c>
      <c r="J22" s="33">
        <f t="shared" si="0"/>
        <v>3.375</v>
      </c>
      <c r="L22" s="39" t="s">
        <v>197</v>
      </c>
      <c r="M22" s="40" t="s">
        <v>94</v>
      </c>
      <c r="N22" s="39" t="s">
        <v>67</v>
      </c>
      <c r="O22" s="39" t="s">
        <v>68</v>
      </c>
      <c r="P22" s="39" t="s">
        <v>69</v>
      </c>
      <c r="Q22" s="40" t="s">
        <v>70</v>
      </c>
    </row>
    <row r="23" spans="1:28" ht="20.25" x14ac:dyDescent="0.3">
      <c r="A23" s="9" t="s">
        <v>124</v>
      </c>
      <c r="B23" s="5">
        <v>4</v>
      </c>
      <c r="C23" s="5">
        <v>3</v>
      </c>
      <c r="D23" s="5">
        <v>5</v>
      </c>
      <c r="E23" s="5">
        <v>3</v>
      </c>
      <c r="F23" s="5">
        <v>2</v>
      </c>
      <c r="G23" s="5">
        <v>1</v>
      </c>
      <c r="H23" s="5">
        <v>2</v>
      </c>
      <c r="I23" s="10">
        <v>1</v>
      </c>
      <c r="J23" s="33">
        <f t="shared" si="0"/>
        <v>2.625</v>
      </c>
      <c r="L23" s="41">
        <v>1</v>
      </c>
      <c r="M23" s="42">
        <f>COUNTIF(B2:B73, 1)</f>
        <v>4</v>
      </c>
      <c r="N23" s="42">
        <f>COUNTIF(B2:B73, 2)</f>
        <v>3</v>
      </c>
      <c r="O23" s="42">
        <f>COUNTIF(B2:B73, 3)</f>
        <v>10</v>
      </c>
      <c r="P23" s="42">
        <f>COUNTIF(B2:B73, 4)</f>
        <v>14</v>
      </c>
      <c r="Q23" s="42">
        <f>COUNTIF(B2:B73, 5)</f>
        <v>36</v>
      </c>
    </row>
    <row r="24" spans="1:28" ht="20.25" x14ac:dyDescent="0.3">
      <c r="A24" s="9" t="s">
        <v>125</v>
      </c>
      <c r="B24" s="5">
        <v>5</v>
      </c>
      <c r="C24" s="5">
        <v>5</v>
      </c>
      <c r="D24" s="5">
        <v>5</v>
      </c>
      <c r="E24" s="5">
        <v>1</v>
      </c>
      <c r="F24" s="5">
        <v>5</v>
      </c>
      <c r="G24" s="5">
        <v>5</v>
      </c>
      <c r="H24" s="5">
        <v>5</v>
      </c>
      <c r="I24" s="10">
        <v>5</v>
      </c>
      <c r="J24" s="33">
        <f t="shared" si="0"/>
        <v>4.5</v>
      </c>
      <c r="L24" s="41" t="s">
        <v>99</v>
      </c>
      <c r="M24" s="42">
        <f>COUNTIF(C2:C73, 1)</f>
        <v>1</v>
      </c>
      <c r="N24" s="42">
        <f>COUNTIF(C2:C73, 2)</f>
        <v>6</v>
      </c>
      <c r="O24" s="42">
        <f>COUNTIF(C2:C73, 3)</f>
        <v>27</v>
      </c>
      <c r="P24" s="42">
        <f>COUNTIF(C2:C73, 4)</f>
        <v>20</v>
      </c>
      <c r="Q24" s="42">
        <f>COUNTIF(C2:C73, 5)</f>
        <v>13</v>
      </c>
    </row>
    <row r="25" spans="1:28" ht="20.25" x14ac:dyDescent="0.3">
      <c r="A25" s="9" t="s">
        <v>126</v>
      </c>
      <c r="B25" s="5">
        <v>3</v>
      </c>
      <c r="C25" s="5">
        <v>4</v>
      </c>
      <c r="D25" s="5">
        <v>4</v>
      </c>
      <c r="E25" s="5">
        <v>2</v>
      </c>
      <c r="F25" s="5">
        <v>3</v>
      </c>
      <c r="G25" s="5">
        <v>4</v>
      </c>
      <c r="H25" s="5">
        <v>5</v>
      </c>
      <c r="I25" s="10">
        <v>4</v>
      </c>
      <c r="J25" s="33">
        <f t="shared" si="0"/>
        <v>3.625</v>
      </c>
      <c r="L25" s="41">
        <v>3</v>
      </c>
      <c r="M25" s="42">
        <f>COUNTIF(D2:D73, 1)</f>
        <v>0</v>
      </c>
      <c r="N25" s="42">
        <f>COUNTIF(D2:D73, 2)</f>
        <v>4</v>
      </c>
      <c r="O25" s="42">
        <f>COUNTIF(D2:D73, 3)</f>
        <v>10</v>
      </c>
      <c r="P25" s="42">
        <f>COUNTIF(D2:D73, 4)</f>
        <v>14</v>
      </c>
      <c r="Q25" s="42">
        <f>COUNTIF(D2:D73, 5)</f>
        <v>39</v>
      </c>
    </row>
    <row r="26" spans="1:28" ht="20.25" x14ac:dyDescent="0.3">
      <c r="A26" s="9" t="s">
        <v>127</v>
      </c>
      <c r="B26" s="5">
        <v>5</v>
      </c>
      <c r="C26" s="5">
        <v>4</v>
      </c>
      <c r="D26" s="5">
        <v>4</v>
      </c>
      <c r="E26" s="5">
        <v>4</v>
      </c>
      <c r="F26" s="5">
        <v>2</v>
      </c>
      <c r="G26" s="5">
        <v>2</v>
      </c>
      <c r="H26" s="5">
        <v>3</v>
      </c>
      <c r="I26" s="10">
        <v>3</v>
      </c>
      <c r="J26" s="33">
        <f t="shared" si="0"/>
        <v>3.375</v>
      </c>
      <c r="L26" s="43">
        <v>4</v>
      </c>
      <c r="M26" s="42">
        <f>COUNTIF(E2:E73, 1)</f>
        <v>7</v>
      </c>
      <c r="N26" s="42">
        <f>COUNTIF(E2:E73, 2)</f>
        <v>21</v>
      </c>
      <c r="O26" s="42">
        <f>COUNTIF(E2:E73, 3)</f>
        <v>14</v>
      </c>
      <c r="P26" s="42">
        <f>COUNTIF(E2:E73, 4)</f>
        <v>12</v>
      </c>
      <c r="Q26" s="42">
        <f>COUNTIF(E2:E73, 5)</f>
        <v>13</v>
      </c>
      <c r="V26" s="19"/>
      <c r="W26" s="19"/>
      <c r="X26" s="19"/>
      <c r="Y26" s="19"/>
      <c r="Z26" s="19"/>
      <c r="AA26" s="19"/>
      <c r="AB26" s="19"/>
    </row>
    <row r="27" spans="1:28" ht="20.25" x14ac:dyDescent="0.3">
      <c r="A27" s="9" t="s">
        <v>128</v>
      </c>
      <c r="B27" s="5">
        <v>3</v>
      </c>
      <c r="C27" s="5">
        <v>3</v>
      </c>
      <c r="D27" s="5">
        <v>5</v>
      </c>
      <c r="E27" s="5">
        <v>3</v>
      </c>
      <c r="F27" s="5">
        <v>4</v>
      </c>
      <c r="G27" s="5">
        <v>4</v>
      </c>
      <c r="H27" s="5">
        <v>4</v>
      </c>
      <c r="I27" s="10">
        <v>4</v>
      </c>
      <c r="J27" s="33">
        <f t="shared" si="0"/>
        <v>3.75</v>
      </c>
      <c r="L27" s="44">
        <v>5</v>
      </c>
      <c r="M27" s="42">
        <f>COUNTIF(F2:F73, 1)</f>
        <v>0</v>
      </c>
      <c r="N27" s="42">
        <f>COUNTIF(F2:F73, 2)</f>
        <v>6</v>
      </c>
      <c r="O27" s="42">
        <f>COUNTIF(F2:F73, 3)</f>
        <v>13</v>
      </c>
      <c r="P27" s="42">
        <f>COUNTIF(F2:F73, 4)</f>
        <v>25</v>
      </c>
      <c r="Q27" s="42">
        <f>COUNTIF(F2:F73, 5)</f>
        <v>23</v>
      </c>
      <c r="V27" s="19"/>
      <c r="W27" s="19"/>
      <c r="X27" s="19"/>
      <c r="Y27" s="19"/>
      <c r="Z27" s="19"/>
      <c r="AA27" s="19"/>
      <c r="AB27" s="19"/>
    </row>
    <row r="28" spans="1:28" ht="20.25" x14ac:dyDescent="0.3">
      <c r="A28" s="9" t="s">
        <v>129</v>
      </c>
      <c r="B28" s="5">
        <v>5</v>
      </c>
      <c r="C28" s="5">
        <v>4</v>
      </c>
      <c r="D28" s="5">
        <v>5</v>
      </c>
      <c r="E28" s="5">
        <v>2</v>
      </c>
      <c r="F28" s="5">
        <v>3</v>
      </c>
      <c r="G28" s="5">
        <v>5</v>
      </c>
      <c r="H28" s="5">
        <v>1</v>
      </c>
      <c r="I28" s="10">
        <v>3</v>
      </c>
      <c r="J28" s="33">
        <f t="shared" si="0"/>
        <v>3.5</v>
      </c>
      <c r="L28" s="41">
        <v>6</v>
      </c>
      <c r="M28" s="42">
        <f>COUNTIF(G2:G73, 1)</f>
        <v>4</v>
      </c>
      <c r="N28" s="42">
        <f>COUNTIF(G2:G73, 2)</f>
        <v>3</v>
      </c>
      <c r="O28" s="42">
        <f>COUNTIF(G2:G73, 3)</f>
        <v>5</v>
      </c>
      <c r="P28" s="42">
        <f>COUNTIF(G2:G73, 4)</f>
        <v>19</v>
      </c>
      <c r="Q28" s="42">
        <f>COUNTIF(G2:G73, 5)</f>
        <v>36</v>
      </c>
      <c r="V28" s="19"/>
      <c r="X28" s="19"/>
      <c r="Y28" s="19"/>
      <c r="AA28" s="19"/>
      <c r="AB28" s="19"/>
    </row>
    <row r="29" spans="1:28" ht="20.25" x14ac:dyDescent="0.3">
      <c r="A29" s="9" t="s">
        <v>130</v>
      </c>
      <c r="B29" s="5">
        <v>5</v>
      </c>
      <c r="C29" s="5">
        <v>3</v>
      </c>
      <c r="D29" s="5">
        <v>5</v>
      </c>
      <c r="E29" s="5">
        <v>5</v>
      </c>
      <c r="F29" s="5">
        <v>5</v>
      </c>
      <c r="G29" s="5">
        <v>5</v>
      </c>
      <c r="H29" s="5">
        <v>5</v>
      </c>
      <c r="I29" s="10">
        <v>5</v>
      </c>
      <c r="J29" s="33">
        <f t="shared" si="0"/>
        <v>4.75</v>
      </c>
      <c r="L29" s="41">
        <v>7</v>
      </c>
      <c r="M29" s="42">
        <f>COUNTIF(H2:H73, 1)</f>
        <v>4</v>
      </c>
      <c r="N29" s="42">
        <f>COUNTIF(H2:H73, 2)</f>
        <v>2</v>
      </c>
      <c r="O29" s="42">
        <f>COUNTIF(H2:H73, 3)</f>
        <v>7</v>
      </c>
      <c r="P29" s="42">
        <f>COUNTIF(H2:H73, 4)</f>
        <v>20</v>
      </c>
      <c r="Q29" s="42">
        <f>COUNTIF(H2:H73, 5)</f>
        <v>34</v>
      </c>
      <c r="V29" s="19"/>
      <c r="W29" s="19"/>
      <c r="X29" s="19"/>
      <c r="Y29" s="19"/>
      <c r="Z29" s="19"/>
      <c r="AA29" s="19"/>
      <c r="AB29" s="19"/>
    </row>
    <row r="30" spans="1:28" ht="20.25" x14ac:dyDescent="0.3">
      <c r="A30" s="9" t="s">
        <v>131</v>
      </c>
      <c r="B30" s="5">
        <v>4</v>
      </c>
      <c r="C30" s="5">
        <v>4</v>
      </c>
      <c r="D30" s="5">
        <v>3</v>
      </c>
      <c r="E30" s="5">
        <v>3</v>
      </c>
      <c r="F30" s="5">
        <v>2</v>
      </c>
      <c r="G30" s="5">
        <v>3</v>
      </c>
      <c r="H30" s="5">
        <v>1</v>
      </c>
      <c r="I30" s="10">
        <v>1</v>
      </c>
      <c r="J30" s="33">
        <f t="shared" si="0"/>
        <v>2.625</v>
      </c>
      <c r="L30" s="41">
        <v>8</v>
      </c>
      <c r="M30" s="42">
        <f>COUNTIF(I2:I73, 1)</f>
        <v>3</v>
      </c>
      <c r="N30" s="42">
        <f>COUNTIF(I2:I73, 2)</f>
        <v>4</v>
      </c>
      <c r="O30" s="42">
        <f>COUNTIF(I2:I73, 3)</f>
        <v>18</v>
      </c>
      <c r="P30" s="42">
        <f>COUNTIF(I2:I73, 4)</f>
        <v>19</v>
      </c>
      <c r="Q30" s="42">
        <f>COUNTIF(I2:I73, 5)</f>
        <v>23</v>
      </c>
      <c r="V30" s="19"/>
      <c r="W30" s="19"/>
      <c r="X30" s="19"/>
      <c r="Y30" s="19"/>
      <c r="Z30" s="19"/>
      <c r="AA30" s="19"/>
      <c r="AB30" s="19"/>
    </row>
    <row r="31" spans="1:28" ht="20.25" x14ac:dyDescent="0.3">
      <c r="A31" s="9" t="s">
        <v>132</v>
      </c>
      <c r="B31" s="5">
        <v>2</v>
      </c>
      <c r="C31" s="5">
        <v>3</v>
      </c>
      <c r="D31" s="5">
        <v>4</v>
      </c>
      <c r="E31" s="5">
        <v>3</v>
      </c>
      <c r="F31" s="5">
        <v>5</v>
      </c>
      <c r="G31" s="5">
        <v>5</v>
      </c>
      <c r="H31" s="5">
        <v>5</v>
      </c>
      <c r="I31" s="10">
        <v>5</v>
      </c>
      <c r="J31" s="33">
        <f t="shared" si="0"/>
        <v>4</v>
      </c>
      <c r="V31" s="19"/>
      <c r="W31" s="19"/>
      <c r="X31" s="19"/>
      <c r="Y31" s="19"/>
      <c r="Z31" s="19"/>
      <c r="AA31" s="19"/>
      <c r="AB31" s="19"/>
    </row>
    <row r="32" spans="1:28" ht="20.25" x14ac:dyDescent="0.3">
      <c r="A32" s="9" t="s">
        <v>133</v>
      </c>
      <c r="B32" s="5">
        <v>5</v>
      </c>
      <c r="C32" s="5">
        <v>4</v>
      </c>
      <c r="D32" s="5">
        <v>5</v>
      </c>
      <c r="E32" s="5">
        <v>4</v>
      </c>
      <c r="F32" s="5">
        <v>3</v>
      </c>
      <c r="G32" s="5">
        <v>5</v>
      </c>
      <c r="H32" s="5">
        <v>4</v>
      </c>
      <c r="I32" s="10">
        <v>2</v>
      </c>
      <c r="J32" s="33">
        <f t="shared" si="0"/>
        <v>4</v>
      </c>
      <c r="V32" s="19"/>
      <c r="W32" s="19"/>
      <c r="X32" s="19"/>
      <c r="Y32" s="19"/>
      <c r="Z32" s="19"/>
      <c r="AA32" s="19"/>
      <c r="AB32" s="19"/>
    </row>
    <row r="33" spans="1:29" ht="20.25" x14ac:dyDescent="0.3">
      <c r="A33" s="9" t="s">
        <v>134</v>
      </c>
      <c r="B33" s="5">
        <v>5</v>
      </c>
      <c r="C33" s="5">
        <v>3</v>
      </c>
      <c r="D33" s="5">
        <v>5</v>
      </c>
      <c r="E33" s="5">
        <v>2</v>
      </c>
      <c r="F33" s="5">
        <v>5</v>
      </c>
      <c r="G33" s="5">
        <v>5</v>
      </c>
      <c r="H33" s="5">
        <v>5</v>
      </c>
      <c r="I33" s="10">
        <v>4</v>
      </c>
      <c r="J33" s="33">
        <f t="shared" si="0"/>
        <v>4.25</v>
      </c>
      <c r="V33" s="19"/>
      <c r="W33" s="19"/>
      <c r="X33" s="19"/>
      <c r="Y33" s="19"/>
      <c r="Z33" s="19"/>
      <c r="AA33" s="19"/>
      <c r="AB33" s="19"/>
    </row>
    <row r="34" spans="1:29" ht="20.25" x14ac:dyDescent="0.3">
      <c r="A34" s="9" t="s">
        <v>135</v>
      </c>
      <c r="B34" s="5">
        <v>5</v>
      </c>
      <c r="C34" s="5">
        <v>5</v>
      </c>
      <c r="D34" s="5">
        <v>5</v>
      </c>
      <c r="E34" s="5">
        <v>2</v>
      </c>
      <c r="F34" s="5">
        <v>4</v>
      </c>
      <c r="G34" s="5">
        <v>4</v>
      </c>
      <c r="H34" s="5">
        <v>4</v>
      </c>
      <c r="I34" s="10">
        <v>4</v>
      </c>
      <c r="J34" s="33">
        <f t="shared" si="0"/>
        <v>4.125</v>
      </c>
      <c r="V34" s="19"/>
      <c r="W34" s="19"/>
      <c r="X34" s="19"/>
      <c r="Y34" s="19"/>
      <c r="Z34" s="19"/>
      <c r="AA34" s="19"/>
      <c r="AB34" s="19"/>
    </row>
    <row r="35" spans="1:29" ht="20.25" x14ac:dyDescent="0.3">
      <c r="A35" s="9" t="s">
        <v>136</v>
      </c>
      <c r="B35" s="5">
        <v>5</v>
      </c>
      <c r="C35" s="5">
        <v>3</v>
      </c>
      <c r="D35" s="5">
        <v>5</v>
      </c>
      <c r="E35" s="5">
        <v>3</v>
      </c>
      <c r="F35" s="5">
        <v>5</v>
      </c>
      <c r="G35" s="5">
        <v>5</v>
      </c>
      <c r="H35" s="5">
        <v>5</v>
      </c>
      <c r="I35" s="10">
        <v>5</v>
      </c>
      <c r="J35" s="33">
        <f t="shared" si="0"/>
        <v>4.5</v>
      </c>
      <c r="X35" s="19"/>
      <c r="Y35" s="19"/>
      <c r="Z35" s="19"/>
      <c r="AA35" s="19"/>
      <c r="AB35" s="19"/>
      <c r="AC35" s="19"/>
    </row>
    <row r="36" spans="1:29" ht="20.25" x14ac:dyDescent="0.3">
      <c r="A36" s="9" t="s">
        <v>137</v>
      </c>
      <c r="B36" s="5">
        <v>4</v>
      </c>
      <c r="C36" s="5">
        <v>3</v>
      </c>
      <c r="D36" s="5">
        <v>3</v>
      </c>
      <c r="E36" s="5">
        <v>2</v>
      </c>
      <c r="F36" s="5">
        <v>3</v>
      </c>
      <c r="G36" s="5">
        <v>5</v>
      </c>
      <c r="H36" s="5">
        <v>4</v>
      </c>
      <c r="I36" s="10">
        <v>4</v>
      </c>
      <c r="J36" s="33">
        <f t="shared" si="0"/>
        <v>3.5</v>
      </c>
    </row>
    <row r="37" spans="1:29" ht="20.25" x14ac:dyDescent="0.3">
      <c r="A37" s="9" t="s">
        <v>138</v>
      </c>
      <c r="B37" s="5">
        <v>5</v>
      </c>
      <c r="C37" s="5">
        <v>4</v>
      </c>
      <c r="D37" s="5">
        <v>5</v>
      </c>
      <c r="E37" s="5">
        <v>1</v>
      </c>
      <c r="F37" s="5">
        <v>4</v>
      </c>
      <c r="G37" s="5">
        <v>5</v>
      </c>
      <c r="H37" s="5">
        <v>4</v>
      </c>
      <c r="I37" s="10">
        <v>3</v>
      </c>
      <c r="J37" s="33">
        <f t="shared" si="0"/>
        <v>3.875</v>
      </c>
      <c r="W37" s="20"/>
      <c r="X37" s="21"/>
      <c r="Y37" s="21"/>
      <c r="Z37" s="21"/>
      <c r="AA37" s="21"/>
      <c r="AB37" s="21"/>
    </row>
    <row r="38" spans="1:29" ht="20.25" x14ac:dyDescent="0.3">
      <c r="A38" s="9" t="s">
        <v>139</v>
      </c>
      <c r="B38" s="5">
        <v>5</v>
      </c>
      <c r="C38" s="5">
        <v>5</v>
      </c>
      <c r="D38" s="5">
        <v>5</v>
      </c>
      <c r="E38" s="5">
        <v>5</v>
      </c>
      <c r="F38" s="5">
        <v>3</v>
      </c>
      <c r="G38" s="5">
        <v>4</v>
      </c>
      <c r="H38" s="5">
        <v>5</v>
      </c>
      <c r="I38" s="10">
        <v>4</v>
      </c>
      <c r="J38" s="33">
        <f t="shared" si="0"/>
        <v>4.5</v>
      </c>
      <c r="W38" s="22"/>
      <c r="X38" s="19"/>
      <c r="Y38" s="19"/>
      <c r="Z38" s="19"/>
      <c r="AA38" s="19"/>
      <c r="AB38" s="19"/>
    </row>
    <row r="39" spans="1:29" ht="20.25" x14ac:dyDescent="0.3">
      <c r="A39" s="9" t="s">
        <v>140</v>
      </c>
      <c r="B39" s="5">
        <v>4</v>
      </c>
      <c r="C39" s="5">
        <v>5</v>
      </c>
      <c r="D39" s="5">
        <v>5</v>
      </c>
      <c r="E39" s="5">
        <v>2</v>
      </c>
      <c r="F39" s="5">
        <v>4</v>
      </c>
      <c r="G39" s="5">
        <v>4</v>
      </c>
      <c r="H39" s="5">
        <v>4</v>
      </c>
      <c r="I39" s="10">
        <v>4</v>
      </c>
      <c r="J39" s="33">
        <f t="shared" si="0"/>
        <v>4</v>
      </c>
      <c r="W39" s="22"/>
      <c r="X39" s="19"/>
      <c r="Y39" s="19"/>
      <c r="Z39" s="19"/>
      <c r="AA39" s="19"/>
      <c r="AB39" s="19"/>
    </row>
    <row r="40" spans="1:29" ht="20.25" x14ac:dyDescent="0.3">
      <c r="A40" s="9" t="s">
        <v>141</v>
      </c>
      <c r="B40" s="5">
        <v>5</v>
      </c>
      <c r="C40" s="5">
        <v>2</v>
      </c>
      <c r="D40" s="5">
        <v>3</v>
      </c>
      <c r="E40" s="5">
        <v>2</v>
      </c>
      <c r="F40" s="5">
        <v>4</v>
      </c>
      <c r="G40" s="5">
        <v>5</v>
      </c>
      <c r="H40" s="5">
        <v>4</v>
      </c>
      <c r="I40" s="10">
        <v>4</v>
      </c>
      <c r="J40" s="33">
        <f t="shared" si="0"/>
        <v>3.625</v>
      </c>
      <c r="W40" s="22"/>
      <c r="X40" s="19"/>
      <c r="Y40" s="19"/>
      <c r="Z40" s="19"/>
      <c r="AA40" s="19"/>
      <c r="AB40" s="19"/>
    </row>
    <row r="41" spans="1:29" ht="20.25" x14ac:dyDescent="0.3">
      <c r="A41" s="9" t="s">
        <v>142</v>
      </c>
      <c r="B41" s="5">
        <v>5</v>
      </c>
      <c r="C41" s="5">
        <v>3</v>
      </c>
      <c r="D41" s="5">
        <v>2</v>
      </c>
      <c r="E41" s="5">
        <v>2</v>
      </c>
      <c r="F41" s="5">
        <v>2</v>
      </c>
      <c r="G41" s="5">
        <v>5</v>
      </c>
      <c r="H41" s="5">
        <v>4</v>
      </c>
      <c r="I41" s="10">
        <v>3</v>
      </c>
      <c r="J41" s="33">
        <f t="shared" si="0"/>
        <v>3.25</v>
      </c>
      <c r="W41" s="22"/>
      <c r="X41" s="19"/>
      <c r="Y41" s="19"/>
      <c r="Z41" s="19"/>
      <c r="AA41" s="19"/>
      <c r="AB41" s="19"/>
    </row>
    <row r="42" spans="1:29" ht="20.25" x14ac:dyDescent="0.3">
      <c r="A42" s="9" t="s">
        <v>143</v>
      </c>
      <c r="B42" s="5">
        <v>4</v>
      </c>
      <c r="C42" s="5">
        <v>3</v>
      </c>
      <c r="D42" s="5">
        <v>3</v>
      </c>
      <c r="E42" s="5">
        <v>2</v>
      </c>
      <c r="F42" s="5">
        <v>3</v>
      </c>
      <c r="G42" s="5">
        <v>4</v>
      </c>
      <c r="H42" s="5">
        <v>4</v>
      </c>
      <c r="I42" s="10">
        <v>3</v>
      </c>
      <c r="J42" s="33">
        <f t="shared" si="0"/>
        <v>3.25</v>
      </c>
      <c r="W42" s="22"/>
      <c r="X42" s="19"/>
      <c r="Y42" s="19"/>
      <c r="Z42" s="19"/>
      <c r="AA42" s="19"/>
      <c r="AB42" s="19"/>
    </row>
    <row r="43" spans="1:29" ht="20.25" x14ac:dyDescent="0.3">
      <c r="A43" s="9" t="s">
        <v>144</v>
      </c>
      <c r="B43" s="5">
        <v>5</v>
      </c>
      <c r="C43" s="5">
        <v>4</v>
      </c>
      <c r="D43" s="5">
        <v>5</v>
      </c>
      <c r="E43" s="5">
        <v>2</v>
      </c>
      <c r="F43" s="5">
        <v>3</v>
      </c>
      <c r="G43" s="5">
        <v>4</v>
      </c>
      <c r="H43" s="5">
        <v>4</v>
      </c>
      <c r="I43" s="10">
        <v>4</v>
      </c>
      <c r="J43" s="33">
        <f t="shared" si="0"/>
        <v>3.875</v>
      </c>
      <c r="W43" s="22"/>
      <c r="X43" s="19"/>
      <c r="Y43" s="19"/>
      <c r="Z43" s="19"/>
      <c r="AA43" s="19"/>
      <c r="AB43" s="19"/>
    </row>
    <row r="44" spans="1:29" ht="20.25" x14ac:dyDescent="0.3">
      <c r="A44" s="9" t="s">
        <v>145</v>
      </c>
      <c r="B44" s="5">
        <v>1</v>
      </c>
      <c r="C44" s="5">
        <v>4</v>
      </c>
      <c r="D44" s="5">
        <v>4</v>
      </c>
      <c r="E44" s="5">
        <v>3</v>
      </c>
      <c r="F44" s="5">
        <v>4</v>
      </c>
      <c r="G44" s="5">
        <v>5</v>
      </c>
      <c r="H44" s="5">
        <v>5</v>
      </c>
      <c r="I44" s="10">
        <v>5</v>
      </c>
      <c r="J44" s="33">
        <f t="shared" si="0"/>
        <v>3.875</v>
      </c>
      <c r="W44" s="22"/>
      <c r="X44" s="19"/>
      <c r="Y44" s="19"/>
      <c r="Z44" s="19"/>
      <c r="AA44" s="19"/>
      <c r="AB44" s="19"/>
    </row>
    <row r="45" spans="1:29" ht="20.25" x14ac:dyDescent="0.3">
      <c r="A45" s="9" t="s">
        <v>146</v>
      </c>
      <c r="B45" s="5"/>
      <c r="C45" s="5"/>
      <c r="D45" s="5"/>
      <c r="E45" s="5"/>
      <c r="F45" s="5"/>
      <c r="G45" s="5"/>
      <c r="H45" s="5"/>
      <c r="I45" s="10"/>
      <c r="J45" s="33"/>
      <c r="W45" s="22"/>
      <c r="X45" s="19"/>
      <c r="Y45" s="19"/>
      <c r="Z45" s="19"/>
      <c r="AA45" s="19"/>
      <c r="AB45" s="19"/>
    </row>
    <row r="46" spans="1:29" ht="20.25" x14ac:dyDescent="0.3">
      <c r="A46" s="9" t="s">
        <v>147</v>
      </c>
      <c r="B46" s="5">
        <v>4</v>
      </c>
      <c r="C46" s="5">
        <v>5</v>
      </c>
      <c r="D46" s="5">
        <v>5</v>
      </c>
      <c r="E46" s="5">
        <v>1</v>
      </c>
      <c r="F46" s="5">
        <v>4</v>
      </c>
      <c r="G46" s="5">
        <v>4</v>
      </c>
      <c r="H46" s="5">
        <v>4</v>
      </c>
      <c r="I46" s="10">
        <v>3</v>
      </c>
      <c r="J46" s="33">
        <f t="shared" si="0"/>
        <v>3.75</v>
      </c>
    </row>
    <row r="47" spans="1:29" ht="20.25" x14ac:dyDescent="0.3">
      <c r="A47" s="9" t="s">
        <v>148</v>
      </c>
      <c r="B47" s="5">
        <v>5</v>
      </c>
      <c r="C47" s="5">
        <v>5</v>
      </c>
      <c r="D47" s="5">
        <v>3</v>
      </c>
      <c r="E47" s="5">
        <v>1</v>
      </c>
      <c r="F47" s="5">
        <v>4</v>
      </c>
      <c r="G47" s="5">
        <v>3</v>
      </c>
      <c r="H47" s="5">
        <v>4</v>
      </c>
      <c r="I47" s="10">
        <v>3</v>
      </c>
      <c r="J47" s="33">
        <f t="shared" si="0"/>
        <v>3.5</v>
      </c>
    </row>
    <row r="48" spans="1:29" ht="20.25" x14ac:dyDescent="0.3">
      <c r="A48" s="9" t="s">
        <v>149</v>
      </c>
      <c r="B48" s="5">
        <v>5</v>
      </c>
      <c r="C48" s="5">
        <v>2</v>
      </c>
      <c r="D48" s="5">
        <v>4</v>
      </c>
      <c r="E48" s="5">
        <v>4</v>
      </c>
      <c r="F48" s="5">
        <v>2</v>
      </c>
      <c r="G48" s="5">
        <v>1</v>
      </c>
      <c r="H48" s="5">
        <v>5</v>
      </c>
      <c r="I48" s="10">
        <v>3</v>
      </c>
      <c r="J48" s="33">
        <f t="shared" si="0"/>
        <v>3.25</v>
      </c>
    </row>
    <row r="49" spans="1:10" ht="20.25" x14ac:dyDescent="0.3">
      <c r="A49" s="9" t="s">
        <v>150</v>
      </c>
      <c r="B49" s="5">
        <v>5</v>
      </c>
      <c r="C49" s="5">
        <v>3</v>
      </c>
      <c r="D49" s="5">
        <v>2</v>
      </c>
      <c r="E49" s="5">
        <v>3</v>
      </c>
      <c r="F49" s="5">
        <v>3</v>
      </c>
      <c r="G49" s="5">
        <v>3</v>
      </c>
      <c r="H49" s="5">
        <v>5</v>
      </c>
      <c r="I49" s="10">
        <v>3</v>
      </c>
      <c r="J49" s="33">
        <f t="shared" si="0"/>
        <v>3.375</v>
      </c>
    </row>
    <row r="50" spans="1:10" ht="20.25" x14ac:dyDescent="0.3">
      <c r="A50" s="9" t="s">
        <v>151</v>
      </c>
      <c r="B50" s="5">
        <v>5</v>
      </c>
      <c r="C50" s="5">
        <v>3</v>
      </c>
      <c r="D50" s="5">
        <v>5</v>
      </c>
      <c r="E50" s="5">
        <v>2</v>
      </c>
      <c r="F50" s="5">
        <v>5</v>
      </c>
      <c r="G50" s="5">
        <v>5</v>
      </c>
      <c r="H50" s="5">
        <v>5</v>
      </c>
      <c r="I50" s="10">
        <v>5</v>
      </c>
      <c r="J50" s="33">
        <f t="shared" si="0"/>
        <v>4.375</v>
      </c>
    </row>
    <row r="51" spans="1:10" ht="20.25" x14ac:dyDescent="0.3">
      <c r="A51" s="9" t="s">
        <v>152</v>
      </c>
      <c r="B51" s="5">
        <v>5</v>
      </c>
      <c r="C51" s="5">
        <v>3</v>
      </c>
      <c r="D51" s="5">
        <v>5</v>
      </c>
      <c r="E51" s="5">
        <v>4</v>
      </c>
      <c r="F51" s="5">
        <v>5</v>
      </c>
      <c r="G51" s="5">
        <v>5</v>
      </c>
      <c r="H51" s="5">
        <v>4</v>
      </c>
      <c r="I51" s="10">
        <v>5</v>
      </c>
      <c r="J51" s="33">
        <f t="shared" si="0"/>
        <v>4.5</v>
      </c>
    </row>
    <row r="52" spans="1:10" ht="20.25" x14ac:dyDescent="0.3">
      <c r="A52" s="9" t="s">
        <v>153</v>
      </c>
      <c r="B52" s="5">
        <v>5</v>
      </c>
      <c r="C52" s="5">
        <v>4</v>
      </c>
      <c r="D52" s="5">
        <v>3</v>
      </c>
      <c r="E52" s="5">
        <v>2</v>
      </c>
      <c r="F52" s="5">
        <v>4</v>
      </c>
      <c r="G52" s="5">
        <v>5</v>
      </c>
      <c r="H52" s="5">
        <v>5</v>
      </c>
      <c r="I52" s="10">
        <v>5</v>
      </c>
      <c r="J52" s="33">
        <f t="shared" si="0"/>
        <v>4.125</v>
      </c>
    </row>
    <row r="53" spans="1:10" ht="20.25" x14ac:dyDescent="0.3">
      <c r="A53" s="9" t="s">
        <v>154</v>
      </c>
      <c r="B53" s="5">
        <v>5</v>
      </c>
      <c r="C53" s="5">
        <v>5</v>
      </c>
      <c r="D53" s="5">
        <v>5</v>
      </c>
      <c r="E53" s="5">
        <v>5</v>
      </c>
      <c r="F53" s="5">
        <v>5</v>
      </c>
      <c r="G53" s="5">
        <v>5</v>
      </c>
      <c r="H53" s="5">
        <v>5</v>
      </c>
      <c r="I53" s="10">
        <v>5</v>
      </c>
      <c r="J53" s="33">
        <f t="shared" si="0"/>
        <v>5</v>
      </c>
    </row>
    <row r="54" spans="1:10" ht="20.25" x14ac:dyDescent="0.3">
      <c r="A54" s="9" t="s">
        <v>155</v>
      </c>
      <c r="B54" s="5">
        <v>5</v>
      </c>
      <c r="C54" s="5">
        <v>4</v>
      </c>
      <c r="D54" s="5">
        <v>5</v>
      </c>
      <c r="E54" s="5">
        <v>4</v>
      </c>
      <c r="F54" s="5">
        <v>5</v>
      </c>
      <c r="G54" s="5">
        <v>5</v>
      </c>
      <c r="H54" s="5">
        <v>5</v>
      </c>
      <c r="I54" s="10">
        <v>5</v>
      </c>
      <c r="J54" s="33">
        <f t="shared" si="0"/>
        <v>4.75</v>
      </c>
    </row>
    <row r="55" spans="1:10" ht="20.25" x14ac:dyDescent="0.3">
      <c r="A55" s="9" t="s">
        <v>156</v>
      </c>
      <c r="B55" s="5">
        <v>1</v>
      </c>
      <c r="C55" s="5">
        <v>3</v>
      </c>
      <c r="D55" s="5">
        <v>5</v>
      </c>
      <c r="E55" s="5">
        <v>2</v>
      </c>
      <c r="F55" s="5">
        <v>4</v>
      </c>
      <c r="G55" s="5">
        <v>4</v>
      </c>
      <c r="H55" s="5">
        <v>2</v>
      </c>
      <c r="I55" s="10">
        <v>4</v>
      </c>
      <c r="J55" s="33">
        <f t="shared" si="0"/>
        <v>3.125</v>
      </c>
    </row>
    <row r="56" spans="1:10" ht="20.25" x14ac:dyDescent="0.3">
      <c r="A56" s="9" t="s">
        <v>157</v>
      </c>
      <c r="B56" s="5">
        <v>4</v>
      </c>
      <c r="C56" s="5">
        <v>2</v>
      </c>
      <c r="D56" s="5">
        <v>4</v>
      </c>
      <c r="E56" s="5">
        <v>4</v>
      </c>
      <c r="F56" s="5">
        <v>4</v>
      </c>
      <c r="G56" s="5">
        <v>5</v>
      </c>
      <c r="H56" s="5">
        <v>5</v>
      </c>
      <c r="I56" s="10">
        <v>5</v>
      </c>
      <c r="J56" s="33">
        <f t="shared" si="0"/>
        <v>4.125</v>
      </c>
    </row>
    <row r="57" spans="1:10" ht="20.25" x14ac:dyDescent="0.3">
      <c r="A57" s="9" t="s">
        <v>158</v>
      </c>
      <c r="B57" s="5">
        <v>5</v>
      </c>
      <c r="C57" s="5">
        <v>3</v>
      </c>
      <c r="D57" s="5">
        <v>5</v>
      </c>
      <c r="E57" s="5">
        <v>5</v>
      </c>
      <c r="F57" s="5">
        <v>5</v>
      </c>
      <c r="G57" s="5">
        <v>5</v>
      </c>
      <c r="H57" s="5">
        <v>5</v>
      </c>
      <c r="I57" s="10">
        <v>5</v>
      </c>
      <c r="J57" s="33">
        <f t="shared" si="0"/>
        <v>4.75</v>
      </c>
    </row>
    <row r="58" spans="1:10" ht="20.25" x14ac:dyDescent="0.3">
      <c r="A58" s="9" t="s">
        <v>159</v>
      </c>
      <c r="B58" s="5">
        <v>4</v>
      </c>
      <c r="C58" s="5">
        <v>1</v>
      </c>
      <c r="D58" s="5">
        <v>5</v>
      </c>
      <c r="E58" s="5">
        <v>5</v>
      </c>
      <c r="F58" s="5">
        <v>5</v>
      </c>
      <c r="G58" s="5">
        <v>4</v>
      </c>
      <c r="H58" s="5">
        <v>3</v>
      </c>
      <c r="I58" s="10">
        <v>3</v>
      </c>
      <c r="J58" s="33">
        <f t="shared" si="0"/>
        <v>3.75</v>
      </c>
    </row>
    <row r="59" spans="1:10" ht="20.25" x14ac:dyDescent="0.3">
      <c r="A59" s="9" t="s">
        <v>160</v>
      </c>
      <c r="B59" s="5">
        <v>3</v>
      </c>
      <c r="C59" s="5">
        <v>4</v>
      </c>
      <c r="D59" s="5">
        <v>5</v>
      </c>
      <c r="E59" s="5">
        <v>1</v>
      </c>
      <c r="F59" s="5">
        <v>3</v>
      </c>
      <c r="G59" s="5">
        <v>4</v>
      </c>
      <c r="H59" s="5">
        <v>3</v>
      </c>
      <c r="I59" s="10">
        <v>4</v>
      </c>
      <c r="J59" s="33">
        <f t="shared" si="0"/>
        <v>3.375</v>
      </c>
    </row>
    <row r="60" spans="1:10" ht="20.25" x14ac:dyDescent="0.3">
      <c r="A60" s="9" t="s">
        <v>161</v>
      </c>
      <c r="B60" s="5">
        <v>5</v>
      </c>
      <c r="C60" s="5">
        <v>5</v>
      </c>
      <c r="D60" s="5">
        <v>5</v>
      </c>
      <c r="E60" s="5">
        <v>5</v>
      </c>
      <c r="F60" s="5">
        <v>5</v>
      </c>
      <c r="G60" s="5">
        <v>5</v>
      </c>
      <c r="H60" s="5">
        <v>5</v>
      </c>
      <c r="I60" s="10">
        <v>5</v>
      </c>
      <c r="J60" s="33">
        <f t="shared" si="0"/>
        <v>5</v>
      </c>
    </row>
    <row r="61" spans="1:10" ht="20.25" x14ac:dyDescent="0.3">
      <c r="A61" s="9" t="s">
        <v>162</v>
      </c>
      <c r="B61" s="5">
        <v>4</v>
      </c>
      <c r="C61" s="5">
        <v>4</v>
      </c>
      <c r="D61" s="5">
        <v>5</v>
      </c>
      <c r="E61" s="5">
        <v>5</v>
      </c>
      <c r="F61" s="5">
        <v>4</v>
      </c>
      <c r="G61" s="5">
        <v>1</v>
      </c>
      <c r="H61" s="5">
        <v>1</v>
      </c>
      <c r="I61" s="10">
        <v>2</v>
      </c>
      <c r="J61" s="33">
        <f t="shared" si="0"/>
        <v>3.25</v>
      </c>
    </row>
    <row r="62" spans="1:10" ht="20.25" x14ac:dyDescent="0.3">
      <c r="A62" s="9" t="s">
        <v>163</v>
      </c>
      <c r="B62" s="5">
        <v>5</v>
      </c>
      <c r="C62" s="5">
        <v>3</v>
      </c>
      <c r="D62" s="5">
        <v>4</v>
      </c>
      <c r="E62" s="5">
        <v>3</v>
      </c>
      <c r="F62" s="5">
        <v>4</v>
      </c>
      <c r="G62" s="5">
        <v>4</v>
      </c>
      <c r="H62" s="5">
        <v>5</v>
      </c>
      <c r="I62" s="10">
        <v>2</v>
      </c>
      <c r="J62" s="33">
        <f t="shared" si="0"/>
        <v>3.75</v>
      </c>
    </row>
    <row r="63" spans="1:10" ht="20.25" x14ac:dyDescent="0.3">
      <c r="A63" s="9" t="s">
        <v>164</v>
      </c>
      <c r="B63" s="5">
        <v>5</v>
      </c>
      <c r="C63" s="5">
        <v>4</v>
      </c>
      <c r="D63" s="5">
        <v>4</v>
      </c>
      <c r="E63" s="5">
        <v>2</v>
      </c>
      <c r="F63" s="5">
        <v>4</v>
      </c>
      <c r="G63" s="5">
        <v>5</v>
      </c>
      <c r="H63" s="5">
        <v>5</v>
      </c>
      <c r="I63" s="10">
        <v>5</v>
      </c>
      <c r="J63" s="33">
        <f t="shared" si="0"/>
        <v>4.25</v>
      </c>
    </row>
    <row r="64" spans="1:10" ht="20.25" x14ac:dyDescent="0.3">
      <c r="A64" s="9" t="s">
        <v>165</v>
      </c>
      <c r="B64" s="5">
        <v>5</v>
      </c>
      <c r="C64" s="5">
        <v>3</v>
      </c>
      <c r="D64" s="5">
        <v>5</v>
      </c>
      <c r="E64" s="5">
        <v>2</v>
      </c>
      <c r="F64" s="5">
        <v>4</v>
      </c>
      <c r="G64" s="5">
        <v>5</v>
      </c>
      <c r="H64" s="5">
        <v>5</v>
      </c>
      <c r="I64" s="10">
        <v>5</v>
      </c>
      <c r="J64" s="33">
        <f t="shared" si="0"/>
        <v>4.25</v>
      </c>
    </row>
    <row r="65" spans="1:20" ht="20.25" x14ac:dyDescent="0.3">
      <c r="A65" s="9" t="s">
        <v>166</v>
      </c>
      <c r="B65" s="5">
        <v>4</v>
      </c>
      <c r="C65" s="5">
        <v>3</v>
      </c>
      <c r="D65" s="5">
        <v>2</v>
      </c>
      <c r="E65" s="5">
        <v>4</v>
      </c>
      <c r="F65" s="5">
        <v>2</v>
      </c>
      <c r="G65" s="5">
        <v>2</v>
      </c>
      <c r="H65" s="5">
        <v>4</v>
      </c>
      <c r="I65" s="10">
        <v>1</v>
      </c>
      <c r="J65" s="33">
        <f t="shared" si="0"/>
        <v>2.75</v>
      </c>
    </row>
    <row r="66" spans="1:20" ht="20.25" x14ac:dyDescent="0.3">
      <c r="A66" s="9" t="s">
        <v>167</v>
      </c>
      <c r="B66" s="5">
        <v>3</v>
      </c>
      <c r="C66" s="5">
        <v>4</v>
      </c>
      <c r="D66" s="5">
        <v>5</v>
      </c>
      <c r="E66" s="5">
        <v>4</v>
      </c>
      <c r="F66" s="5">
        <v>4</v>
      </c>
      <c r="G66" s="5">
        <v>4</v>
      </c>
      <c r="H66" s="5">
        <v>3</v>
      </c>
      <c r="I66" s="10">
        <v>3</v>
      </c>
      <c r="J66" s="33">
        <f t="shared" si="0"/>
        <v>3.75</v>
      </c>
    </row>
    <row r="67" spans="1:20" ht="20.25" x14ac:dyDescent="0.3">
      <c r="A67" s="9" t="s">
        <v>168</v>
      </c>
      <c r="B67" s="5">
        <v>4</v>
      </c>
      <c r="C67" s="5">
        <v>4</v>
      </c>
      <c r="D67" s="5">
        <v>2</v>
      </c>
      <c r="E67" s="5">
        <v>4</v>
      </c>
      <c r="F67" s="5">
        <v>5</v>
      </c>
      <c r="G67" s="5">
        <v>4</v>
      </c>
      <c r="H67" s="5">
        <v>5</v>
      </c>
      <c r="I67" s="10">
        <v>5</v>
      </c>
      <c r="J67" s="33">
        <f t="shared" ref="J67:J71" si="1">AVERAGE(B67:I67)</f>
        <v>4.125</v>
      </c>
    </row>
    <row r="68" spans="1:20" ht="20.25" x14ac:dyDescent="0.3">
      <c r="A68" s="9" t="s">
        <v>169</v>
      </c>
      <c r="B68" s="5">
        <v>3</v>
      </c>
      <c r="C68" s="5">
        <v>4</v>
      </c>
      <c r="D68" s="5">
        <v>5</v>
      </c>
      <c r="E68" s="5">
        <v>1</v>
      </c>
      <c r="F68" s="5">
        <v>3</v>
      </c>
      <c r="G68" s="5">
        <v>4</v>
      </c>
      <c r="H68" s="5">
        <v>3</v>
      </c>
      <c r="I68" s="10">
        <v>4</v>
      </c>
      <c r="J68" s="33">
        <f t="shared" si="1"/>
        <v>3.375</v>
      </c>
    </row>
    <row r="69" spans="1:20" ht="20.25" x14ac:dyDescent="0.3">
      <c r="A69" s="9" t="s">
        <v>170</v>
      </c>
      <c r="B69" s="5">
        <v>5</v>
      </c>
      <c r="C69" s="5">
        <v>5</v>
      </c>
      <c r="D69" s="5">
        <v>5</v>
      </c>
      <c r="E69" s="5">
        <v>5</v>
      </c>
      <c r="F69" s="5">
        <v>5</v>
      </c>
      <c r="G69" s="5">
        <v>5</v>
      </c>
      <c r="H69" s="5">
        <v>5</v>
      </c>
      <c r="I69" s="10">
        <v>5</v>
      </c>
      <c r="J69" s="33">
        <f t="shared" si="1"/>
        <v>5</v>
      </c>
    </row>
    <row r="70" spans="1:20" ht="20.25" x14ac:dyDescent="0.3">
      <c r="A70" s="9" t="s">
        <v>171</v>
      </c>
      <c r="B70" s="5">
        <v>3</v>
      </c>
      <c r="C70" s="5">
        <v>4</v>
      </c>
      <c r="D70" s="5">
        <v>5</v>
      </c>
      <c r="E70" s="5">
        <v>1</v>
      </c>
      <c r="F70" s="5">
        <v>5</v>
      </c>
      <c r="G70" s="5">
        <v>5</v>
      </c>
      <c r="H70" s="5">
        <v>5</v>
      </c>
      <c r="I70" s="10">
        <v>5</v>
      </c>
      <c r="J70" s="33">
        <f t="shared" si="1"/>
        <v>4.125</v>
      </c>
    </row>
    <row r="71" spans="1:20" ht="20.25" x14ac:dyDescent="0.3">
      <c r="A71" s="9" t="s">
        <v>172</v>
      </c>
      <c r="B71" s="13">
        <v>5</v>
      </c>
      <c r="C71" s="13">
        <v>5</v>
      </c>
      <c r="D71" s="13">
        <v>5</v>
      </c>
      <c r="E71" s="13">
        <v>2</v>
      </c>
      <c r="F71" s="13">
        <v>4</v>
      </c>
      <c r="G71" s="13">
        <v>4</v>
      </c>
      <c r="H71" s="13">
        <v>4</v>
      </c>
      <c r="I71" s="14">
        <v>4</v>
      </c>
      <c r="J71" s="33">
        <f t="shared" si="1"/>
        <v>4.125</v>
      </c>
      <c r="M71" s="54"/>
      <c r="N71" s="54"/>
      <c r="O71" s="54"/>
      <c r="P71" s="54"/>
      <c r="Q71" s="54"/>
      <c r="R71" s="54"/>
      <c r="S71" s="54"/>
      <c r="T71" s="54"/>
    </row>
    <row r="72" spans="1:20" ht="20.25" x14ac:dyDescent="0.3">
      <c r="A72" s="9" t="s">
        <v>173</v>
      </c>
      <c r="B72" s="1"/>
      <c r="C72" s="1"/>
      <c r="D72" s="1"/>
      <c r="E72" s="1"/>
      <c r="F72" s="1"/>
      <c r="G72" s="1"/>
      <c r="H72" s="1"/>
      <c r="I72" s="32"/>
      <c r="J72" s="33"/>
    </row>
    <row r="73" spans="1:20" ht="21" thickBot="1" x14ac:dyDescent="0.35">
      <c r="A73" s="9" t="s">
        <v>174</v>
      </c>
      <c r="B73" s="1"/>
      <c r="C73" s="1"/>
      <c r="D73" s="1"/>
      <c r="E73" s="1"/>
      <c r="F73" s="1"/>
      <c r="G73" s="1"/>
      <c r="H73" s="1"/>
      <c r="I73" s="32"/>
      <c r="J73" s="34"/>
    </row>
    <row r="74" spans="1:20" ht="20.25" x14ac:dyDescent="0.3">
      <c r="A74" s="11" t="s">
        <v>63</v>
      </c>
      <c r="B74" s="15">
        <f t="shared" ref="B74:I74" si="2">AVERAGE(B2:B73)</f>
        <v>4.1194029850746272</v>
      </c>
      <c r="C74" s="16">
        <f t="shared" si="2"/>
        <v>3.5671641791044775</v>
      </c>
      <c r="D74" s="16">
        <f t="shared" si="2"/>
        <v>4.3134328358208958</v>
      </c>
      <c r="E74" s="16">
        <f t="shared" si="2"/>
        <v>3.044776119402985</v>
      </c>
      <c r="F74" s="16">
        <f t="shared" si="2"/>
        <v>3.9701492537313432</v>
      </c>
      <c r="G74" s="16">
        <f t="shared" si="2"/>
        <v>4.1940298507462686</v>
      </c>
      <c r="H74" s="16">
        <f t="shared" si="2"/>
        <v>4.1641791044776122</v>
      </c>
      <c r="I74" s="16">
        <f t="shared" si="2"/>
        <v>3.8208955223880596</v>
      </c>
      <c r="J74" s="35">
        <f>AVERAGE(B74:I74)</f>
        <v>3.8992537313432836</v>
      </c>
    </row>
    <row r="75" spans="1:20" ht="21" thickBot="1" x14ac:dyDescent="0.35">
      <c r="A75" s="12" t="s">
        <v>88</v>
      </c>
      <c r="B75" s="17">
        <f t="shared" ref="B75:I75" si="3">_xlfn.STDEV.P(B2:B73)</f>
        <v>1.178443041382202</v>
      </c>
      <c r="C75" s="18">
        <f t="shared" si="3"/>
        <v>0.94984492995207881</v>
      </c>
      <c r="D75" s="18">
        <f t="shared" si="3"/>
        <v>0.93376073549952554</v>
      </c>
      <c r="E75" s="18">
        <f t="shared" si="3"/>
        <v>1.2979068777498308</v>
      </c>
      <c r="F75" s="18">
        <f t="shared" si="3"/>
        <v>0.94584952344805129</v>
      </c>
      <c r="G75" s="18">
        <f t="shared" si="3"/>
        <v>1.1360944617304516</v>
      </c>
      <c r="H75" s="18">
        <f t="shared" si="3"/>
        <v>1.1143168032794084</v>
      </c>
      <c r="I75" s="18">
        <f t="shared" si="3"/>
        <v>1.1052840944223057</v>
      </c>
      <c r="J75" s="36">
        <f t="shared" ref="J75" si="4">AVERAGE(B75:I75)</f>
        <v>1.0826875584329818</v>
      </c>
    </row>
    <row r="76" spans="1:20" x14ac:dyDescent="0.25">
      <c r="A76" s="4"/>
    </row>
    <row r="77" spans="1:20" x14ac:dyDescent="0.25">
      <c r="A77" s="4"/>
    </row>
    <row r="78" spans="1:20" x14ac:dyDescent="0.25">
      <c r="A78" s="4"/>
    </row>
    <row r="79" spans="1:20" x14ac:dyDescent="0.25">
      <c r="A79" s="4"/>
    </row>
    <row r="80" spans="1:20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</sheetData>
  <mergeCells count="10">
    <mergeCell ref="M16:R16"/>
    <mergeCell ref="M17:R17"/>
    <mergeCell ref="M18:R18"/>
    <mergeCell ref="M19:R19"/>
    <mergeCell ref="M20:R20"/>
    <mergeCell ref="L7:P7"/>
    <mergeCell ref="M12:R12"/>
    <mergeCell ref="M13:R13"/>
    <mergeCell ref="M14:R14"/>
    <mergeCell ref="M15:R15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16F-902F-4C53-87CC-12DEB3C33640}">
  <sheetPr>
    <pageSetUpPr autoPageBreaks="0"/>
  </sheetPr>
  <dimension ref="A1:J83"/>
  <sheetViews>
    <sheetView zoomScale="42" zoomScaleNormal="27" workbookViewId="0">
      <selection activeCell="I74" sqref="I74"/>
    </sheetView>
  </sheetViews>
  <sheetFormatPr defaultColWidth="8.85546875" defaultRowHeight="15" x14ac:dyDescent="0.25"/>
  <cols>
    <col min="1" max="1" width="21.7109375" bestFit="1" customWidth="1"/>
    <col min="2" max="2" width="169.7109375" customWidth="1"/>
    <col min="3" max="3" width="47.85546875" customWidth="1"/>
    <col min="8" max="8" width="19.42578125" customWidth="1"/>
    <col min="9" max="9" width="22.28515625" customWidth="1"/>
    <col min="10" max="10" width="44" customWidth="1"/>
  </cols>
  <sheetData>
    <row r="1" spans="1:10" ht="117.75" customHeight="1" x14ac:dyDescent="0.25">
      <c r="A1" s="133" t="s">
        <v>102</v>
      </c>
      <c r="B1" s="139" t="s">
        <v>71</v>
      </c>
      <c r="C1" s="139" t="s">
        <v>231</v>
      </c>
    </row>
    <row r="2" spans="1:10" ht="36.950000000000003" customHeight="1" x14ac:dyDescent="0.4">
      <c r="A2" s="134" t="s">
        <v>103</v>
      </c>
      <c r="B2" s="137" t="s">
        <v>1</v>
      </c>
      <c r="C2" s="136" t="s">
        <v>201</v>
      </c>
    </row>
    <row r="3" spans="1:10" ht="51.95" customHeight="1" x14ac:dyDescent="0.4">
      <c r="A3" s="134" t="s">
        <v>104</v>
      </c>
      <c r="B3" s="136" t="s">
        <v>3</v>
      </c>
      <c r="C3" s="136" t="s">
        <v>202</v>
      </c>
    </row>
    <row r="4" spans="1:10" ht="56.45" customHeight="1" x14ac:dyDescent="0.4">
      <c r="A4" s="134" t="s">
        <v>105</v>
      </c>
      <c r="B4" s="136" t="s">
        <v>7</v>
      </c>
      <c r="C4" s="136" t="s">
        <v>203</v>
      </c>
    </row>
    <row r="5" spans="1:10" ht="26.25" x14ac:dyDescent="0.4">
      <c r="A5" s="134" t="s">
        <v>106</v>
      </c>
      <c r="B5" s="136"/>
      <c r="C5" s="136"/>
    </row>
    <row r="6" spans="1:10" ht="54" customHeight="1" thickBot="1" x14ac:dyDescent="0.45">
      <c r="A6" s="134" t="s">
        <v>107</v>
      </c>
      <c r="B6" s="136" t="s">
        <v>8</v>
      </c>
      <c r="C6" s="136" t="s">
        <v>204</v>
      </c>
    </row>
    <row r="7" spans="1:10" ht="51.75" thickBot="1" x14ac:dyDescent="0.45">
      <c r="A7" s="134" t="s">
        <v>108</v>
      </c>
      <c r="B7" s="136" t="s">
        <v>9</v>
      </c>
      <c r="C7" s="136" t="s">
        <v>205</v>
      </c>
      <c r="H7" s="130" t="s">
        <v>229</v>
      </c>
      <c r="I7" s="131" t="s">
        <v>200</v>
      </c>
      <c r="J7" s="132" t="s">
        <v>228</v>
      </c>
    </row>
    <row r="8" spans="1:10" ht="52.5" x14ac:dyDescent="0.4">
      <c r="A8" s="134" t="s">
        <v>109</v>
      </c>
      <c r="B8" s="136" t="s">
        <v>10</v>
      </c>
      <c r="C8" s="136" t="s">
        <v>206</v>
      </c>
      <c r="H8" s="127">
        <v>1</v>
      </c>
      <c r="I8" s="128" t="s">
        <v>201</v>
      </c>
      <c r="J8" s="129">
        <v>37</v>
      </c>
    </row>
    <row r="9" spans="1:10" ht="52.5" x14ac:dyDescent="0.4">
      <c r="A9" s="134" t="s">
        <v>110</v>
      </c>
      <c r="B9" s="136" t="s">
        <v>17</v>
      </c>
      <c r="C9" s="136" t="s">
        <v>202</v>
      </c>
      <c r="H9" s="122">
        <v>2</v>
      </c>
      <c r="I9" s="121" t="s">
        <v>202</v>
      </c>
      <c r="J9" s="123">
        <v>24</v>
      </c>
    </row>
    <row r="10" spans="1:10" ht="54.6" customHeight="1" x14ac:dyDescent="0.4">
      <c r="A10" s="134" t="s">
        <v>111</v>
      </c>
      <c r="B10" s="136" t="s">
        <v>196</v>
      </c>
      <c r="C10" s="136" t="s">
        <v>203</v>
      </c>
      <c r="H10" s="122">
        <v>3</v>
      </c>
      <c r="I10" s="121" t="s">
        <v>212</v>
      </c>
      <c r="J10" s="123">
        <v>21</v>
      </c>
    </row>
    <row r="11" spans="1:10" ht="52.5" x14ac:dyDescent="0.4">
      <c r="A11" s="134" t="s">
        <v>112</v>
      </c>
      <c r="B11" s="136" t="s">
        <v>19</v>
      </c>
      <c r="C11" s="136" t="s">
        <v>207</v>
      </c>
      <c r="H11" s="122">
        <v>4</v>
      </c>
      <c r="I11" s="121" t="s">
        <v>220</v>
      </c>
      <c r="J11" s="123">
        <v>9</v>
      </c>
    </row>
    <row r="12" spans="1:10" ht="78.75" x14ac:dyDescent="0.4">
      <c r="A12" s="134" t="s">
        <v>113</v>
      </c>
      <c r="B12" s="136" t="s">
        <v>21</v>
      </c>
      <c r="C12" s="136" t="s">
        <v>208</v>
      </c>
      <c r="H12" s="122">
        <v>5</v>
      </c>
      <c r="I12" s="121" t="s">
        <v>230</v>
      </c>
      <c r="J12" s="123">
        <v>7</v>
      </c>
    </row>
    <row r="13" spans="1:10" ht="53.25" thickBot="1" x14ac:dyDescent="0.45">
      <c r="A13" s="134" t="s">
        <v>114</v>
      </c>
      <c r="B13" s="136" t="s">
        <v>25</v>
      </c>
      <c r="C13" s="136" t="s">
        <v>209</v>
      </c>
      <c r="H13" s="124">
        <v>6</v>
      </c>
      <c r="I13" s="125" t="s">
        <v>213</v>
      </c>
      <c r="J13" s="126">
        <v>4</v>
      </c>
    </row>
    <row r="14" spans="1:10" ht="26.25" x14ac:dyDescent="0.4">
      <c r="A14" s="134" t="s">
        <v>115</v>
      </c>
      <c r="B14" s="136"/>
      <c r="C14" s="136"/>
    </row>
    <row r="15" spans="1:10" ht="52.5" x14ac:dyDescent="0.4">
      <c r="A15" s="134" t="s">
        <v>116</v>
      </c>
      <c r="B15" s="136" t="s">
        <v>26</v>
      </c>
      <c r="C15" s="136" t="s">
        <v>210</v>
      </c>
    </row>
    <row r="16" spans="1:10" ht="26.25" x14ac:dyDescent="0.4">
      <c r="A16" s="134" t="s">
        <v>117</v>
      </c>
      <c r="B16" s="136" t="s">
        <v>33</v>
      </c>
      <c r="C16" s="136" t="s">
        <v>209</v>
      </c>
    </row>
    <row r="17" spans="1:3" ht="59.1" customHeight="1" x14ac:dyDescent="0.4">
      <c r="A17" s="134" t="s">
        <v>118</v>
      </c>
      <c r="B17" s="136" t="s">
        <v>232</v>
      </c>
      <c r="C17" s="138" t="s">
        <v>222</v>
      </c>
    </row>
    <row r="18" spans="1:3" ht="51" customHeight="1" x14ac:dyDescent="0.4">
      <c r="A18" s="134" t="s">
        <v>119</v>
      </c>
      <c r="B18" s="136" t="s">
        <v>35</v>
      </c>
      <c r="C18" s="136" t="s">
        <v>211</v>
      </c>
    </row>
    <row r="19" spans="1:3" ht="52.5" x14ac:dyDescent="0.4">
      <c r="A19" s="134" t="s">
        <v>120</v>
      </c>
      <c r="B19" s="136" t="s">
        <v>36</v>
      </c>
      <c r="C19" s="136" t="s">
        <v>207</v>
      </c>
    </row>
    <row r="20" spans="1:3" ht="26.25" x14ac:dyDescent="0.4">
      <c r="A20" s="134" t="s">
        <v>121</v>
      </c>
      <c r="B20" s="136" t="s">
        <v>40</v>
      </c>
      <c r="C20" s="136" t="s">
        <v>207</v>
      </c>
    </row>
    <row r="21" spans="1:3" ht="26.25" x14ac:dyDescent="0.4">
      <c r="A21" s="134" t="s">
        <v>122</v>
      </c>
      <c r="B21" s="136" t="s">
        <v>43</v>
      </c>
      <c r="C21" s="136" t="s">
        <v>207</v>
      </c>
    </row>
    <row r="22" spans="1:3" ht="52.5" x14ac:dyDescent="0.4">
      <c r="A22" s="134" t="s">
        <v>123</v>
      </c>
      <c r="B22" s="136" t="s">
        <v>45</v>
      </c>
      <c r="C22" s="136" t="s">
        <v>210</v>
      </c>
    </row>
    <row r="23" spans="1:3" ht="26.25" x14ac:dyDescent="0.4">
      <c r="A23" s="134" t="s">
        <v>124</v>
      </c>
      <c r="B23" s="136" t="s">
        <v>46</v>
      </c>
      <c r="C23" s="136" t="s">
        <v>212</v>
      </c>
    </row>
    <row r="24" spans="1:3" ht="26.25" x14ac:dyDescent="0.4">
      <c r="A24" s="134" t="s">
        <v>125</v>
      </c>
      <c r="B24" s="136" t="s">
        <v>47</v>
      </c>
      <c r="C24" s="136" t="s">
        <v>213</v>
      </c>
    </row>
    <row r="25" spans="1:3" ht="52.5" x14ac:dyDescent="0.4">
      <c r="A25" s="134" t="s">
        <v>126</v>
      </c>
      <c r="B25" s="136" t="s">
        <v>51</v>
      </c>
      <c r="C25" s="136" t="s">
        <v>210</v>
      </c>
    </row>
    <row r="26" spans="1:3" ht="26.25" x14ac:dyDescent="0.4">
      <c r="A26" s="134" t="s">
        <v>127</v>
      </c>
      <c r="B26" s="136" t="s">
        <v>52</v>
      </c>
      <c r="C26" s="136" t="s">
        <v>212</v>
      </c>
    </row>
    <row r="27" spans="1:3" ht="26.25" x14ac:dyDescent="0.4">
      <c r="A27" s="134" t="s">
        <v>128</v>
      </c>
      <c r="B27" s="136" t="s">
        <v>54</v>
      </c>
      <c r="C27" s="136" t="s">
        <v>209</v>
      </c>
    </row>
    <row r="28" spans="1:3" ht="26.25" x14ac:dyDescent="0.4">
      <c r="A28" s="134" t="s">
        <v>129</v>
      </c>
      <c r="B28" s="136" t="s">
        <v>55</v>
      </c>
      <c r="C28" s="136" t="s">
        <v>213</v>
      </c>
    </row>
    <row r="29" spans="1:3" ht="52.5" x14ac:dyDescent="0.4">
      <c r="A29" s="134" t="s">
        <v>130</v>
      </c>
      <c r="B29" s="136" t="s">
        <v>56</v>
      </c>
      <c r="C29" s="136" t="s">
        <v>210</v>
      </c>
    </row>
    <row r="30" spans="1:3" ht="26.25" x14ac:dyDescent="0.4">
      <c r="A30" s="134" t="s">
        <v>131</v>
      </c>
      <c r="B30" s="136"/>
      <c r="C30" s="136"/>
    </row>
    <row r="31" spans="1:3" ht="26.25" x14ac:dyDescent="0.4">
      <c r="A31" s="134" t="s">
        <v>132</v>
      </c>
      <c r="B31" s="136" t="s">
        <v>57</v>
      </c>
      <c r="C31" s="136" t="s">
        <v>201</v>
      </c>
    </row>
    <row r="32" spans="1:3" ht="52.5" x14ac:dyDescent="0.4">
      <c r="A32" s="134" t="s">
        <v>133</v>
      </c>
      <c r="B32" s="136" t="s">
        <v>58</v>
      </c>
      <c r="C32" s="136" t="s">
        <v>210</v>
      </c>
    </row>
    <row r="33" spans="1:3" ht="26.25" x14ac:dyDescent="0.4">
      <c r="A33" s="134" t="s">
        <v>134</v>
      </c>
      <c r="B33" s="136" t="s">
        <v>59</v>
      </c>
      <c r="C33" s="136" t="s">
        <v>207</v>
      </c>
    </row>
    <row r="34" spans="1:3" ht="26.25" x14ac:dyDescent="0.4">
      <c r="A34" s="134" t="s">
        <v>135</v>
      </c>
      <c r="B34" s="136" t="s">
        <v>60</v>
      </c>
      <c r="C34" s="136" t="s">
        <v>212</v>
      </c>
    </row>
    <row r="35" spans="1:3" ht="26.25" x14ac:dyDescent="0.4">
      <c r="A35" s="134" t="s">
        <v>136</v>
      </c>
      <c r="B35" s="136" t="s">
        <v>6</v>
      </c>
      <c r="C35" s="136" t="s">
        <v>207</v>
      </c>
    </row>
    <row r="36" spans="1:3" ht="26.25" x14ac:dyDescent="0.4">
      <c r="A36" s="134" t="s">
        <v>137</v>
      </c>
      <c r="B36" s="136" t="s">
        <v>11</v>
      </c>
      <c r="C36" s="136" t="s">
        <v>209</v>
      </c>
    </row>
    <row r="37" spans="1:3" ht="26.25" x14ac:dyDescent="0.4">
      <c r="A37" s="134" t="s">
        <v>138</v>
      </c>
      <c r="B37" s="136" t="s">
        <v>14</v>
      </c>
      <c r="C37" s="136" t="s">
        <v>214</v>
      </c>
    </row>
    <row r="38" spans="1:3" ht="26.25" x14ac:dyDescent="0.4">
      <c r="A38" s="134" t="s">
        <v>139</v>
      </c>
      <c r="B38" s="136" t="s">
        <v>2</v>
      </c>
      <c r="C38" s="136" t="s">
        <v>213</v>
      </c>
    </row>
    <row r="39" spans="1:3" ht="52.5" x14ac:dyDescent="0.4">
      <c r="A39" s="134" t="s">
        <v>140</v>
      </c>
      <c r="B39" s="136" t="s">
        <v>15</v>
      </c>
      <c r="C39" s="136" t="s">
        <v>215</v>
      </c>
    </row>
    <row r="40" spans="1:3" ht="26.25" x14ac:dyDescent="0.4">
      <c r="A40" s="134" t="s">
        <v>141</v>
      </c>
      <c r="B40" s="136" t="s">
        <v>18</v>
      </c>
      <c r="C40" s="136" t="s">
        <v>201</v>
      </c>
    </row>
    <row r="41" spans="1:3" ht="26.25" x14ac:dyDescent="0.4">
      <c r="A41" s="134" t="s">
        <v>142</v>
      </c>
      <c r="B41" s="136" t="s">
        <v>1</v>
      </c>
      <c r="C41" s="136" t="s">
        <v>201</v>
      </c>
    </row>
    <row r="42" spans="1:3" ht="26.25" x14ac:dyDescent="0.4">
      <c r="A42" s="134" t="s">
        <v>143</v>
      </c>
      <c r="B42" s="136" t="s">
        <v>24</v>
      </c>
      <c r="C42" s="136" t="s">
        <v>203</v>
      </c>
    </row>
    <row r="43" spans="1:3" ht="78.75" x14ac:dyDescent="0.4">
      <c r="A43" s="134" t="s">
        <v>144</v>
      </c>
      <c r="B43" s="136" t="s">
        <v>27</v>
      </c>
      <c r="C43" s="136" t="s">
        <v>216</v>
      </c>
    </row>
    <row r="44" spans="1:3" ht="52.5" x14ac:dyDescent="0.4">
      <c r="A44" s="134" t="s">
        <v>145</v>
      </c>
      <c r="B44" s="136" t="s">
        <v>31</v>
      </c>
      <c r="C44" s="136" t="s">
        <v>217</v>
      </c>
    </row>
    <row r="45" spans="1:3" ht="52.5" x14ac:dyDescent="0.4">
      <c r="A45" s="134" t="s">
        <v>146</v>
      </c>
      <c r="B45" s="136" t="s">
        <v>32</v>
      </c>
      <c r="C45" s="136" t="s">
        <v>218</v>
      </c>
    </row>
    <row r="46" spans="1:3" ht="52.5" x14ac:dyDescent="0.4">
      <c r="A46" s="134" t="s">
        <v>147</v>
      </c>
      <c r="B46" s="136" t="s">
        <v>34</v>
      </c>
      <c r="C46" s="136" t="s">
        <v>203</v>
      </c>
    </row>
    <row r="47" spans="1:3" ht="26.25" x14ac:dyDescent="0.4">
      <c r="A47" s="134" t="s">
        <v>148</v>
      </c>
      <c r="B47" s="136" t="s">
        <v>39</v>
      </c>
      <c r="C47" s="136" t="s">
        <v>211</v>
      </c>
    </row>
    <row r="48" spans="1:3" ht="26.25" x14ac:dyDescent="0.4">
      <c r="A48" s="134" t="s">
        <v>149</v>
      </c>
      <c r="B48" s="136" t="s">
        <v>41</v>
      </c>
      <c r="C48" s="136" t="s">
        <v>219</v>
      </c>
    </row>
    <row r="49" spans="1:3" ht="52.5" x14ac:dyDescent="0.4">
      <c r="A49" s="134" t="s">
        <v>150</v>
      </c>
      <c r="B49" s="136" t="s">
        <v>44</v>
      </c>
      <c r="C49" s="136" t="s">
        <v>210</v>
      </c>
    </row>
    <row r="50" spans="1:3" ht="26.25" x14ac:dyDescent="0.4">
      <c r="A50" s="134" t="s">
        <v>151</v>
      </c>
      <c r="B50" s="136"/>
      <c r="C50" s="136"/>
    </row>
    <row r="51" spans="1:3" ht="26.25" x14ac:dyDescent="0.4">
      <c r="A51" s="134" t="s">
        <v>152</v>
      </c>
      <c r="B51" s="136" t="s">
        <v>5</v>
      </c>
      <c r="C51" s="136" t="s">
        <v>220</v>
      </c>
    </row>
    <row r="52" spans="1:3" ht="26.25" x14ac:dyDescent="0.4">
      <c r="A52" s="134" t="s">
        <v>153</v>
      </c>
      <c r="B52" s="136" t="s">
        <v>13</v>
      </c>
      <c r="C52" s="136" t="s">
        <v>203</v>
      </c>
    </row>
    <row r="53" spans="1:3" ht="26.25" x14ac:dyDescent="0.4">
      <c r="A53" s="134" t="s">
        <v>154</v>
      </c>
      <c r="B53" s="136" t="s">
        <v>16</v>
      </c>
      <c r="C53" s="136" t="s">
        <v>201</v>
      </c>
    </row>
    <row r="54" spans="1:3" ht="26.25" x14ac:dyDescent="0.4">
      <c r="A54" s="134" t="s">
        <v>155</v>
      </c>
      <c r="B54" s="136" t="s">
        <v>20</v>
      </c>
      <c r="C54" s="136" t="s">
        <v>221</v>
      </c>
    </row>
    <row r="55" spans="1:3" ht="26.25" x14ac:dyDescent="0.4">
      <c r="A55" s="134" t="s">
        <v>156</v>
      </c>
      <c r="B55" s="136" t="s">
        <v>22</v>
      </c>
      <c r="C55" s="136" t="s">
        <v>202</v>
      </c>
    </row>
    <row r="56" spans="1:3" ht="52.5" x14ac:dyDescent="0.4">
      <c r="A56" s="134" t="s">
        <v>157</v>
      </c>
      <c r="B56" s="136" t="s">
        <v>23</v>
      </c>
      <c r="C56" s="136" t="s">
        <v>222</v>
      </c>
    </row>
    <row r="57" spans="1:3" ht="52.5" x14ac:dyDescent="0.4">
      <c r="A57" s="134" t="s">
        <v>158</v>
      </c>
      <c r="B57" s="136" t="s">
        <v>28</v>
      </c>
      <c r="C57" s="136" t="s">
        <v>223</v>
      </c>
    </row>
    <row r="58" spans="1:3" ht="52.5" x14ac:dyDescent="0.4">
      <c r="A58" s="134" t="s">
        <v>159</v>
      </c>
      <c r="B58" s="136" t="s">
        <v>42</v>
      </c>
      <c r="C58" s="136" t="s">
        <v>224</v>
      </c>
    </row>
    <row r="59" spans="1:3" ht="26.25" x14ac:dyDescent="0.4">
      <c r="A59" s="134" t="s">
        <v>160</v>
      </c>
      <c r="B59" s="136" t="s">
        <v>48</v>
      </c>
      <c r="C59" s="136" t="s">
        <v>201</v>
      </c>
    </row>
    <row r="60" spans="1:3" ht="26.25" x14ac:dyDescent="0.4">
      <c r="A60" s="134" t="s">
        <v>161</v>
      </c>
      <c r="B60" s="136" t="s">
        <v>50</v>
      </c>
      <c r="C60" s="136" t="s">
        <v>203</v>
      </c>
    </row>
    <row r="61" spans="1:3" ht="26.25" x14ac:dyDescent="0.4">
      <c r="A61" s="134" t="s">
        <v>162</v>
      </c>
      <c r="B61" s="136" t="s">
        <v>2</v>
      </c>
      <c r="C61" s="136" t="s">
        <v>213</v>
      </c>
    </row>
    <row r="62" spans="1:3" ht="52.5" x14ac:dyDescent="0.4">
      <c r="A62" s="134" t="s">
        <v>163</v>
      </c>
      <c r="B62" s="136" t="s">
        <v>4</v>
      </c>
      <c r="C62" s="136" t="s">
        <v>204</v>
      </c>
    </row>
    <row r="63" spans="1:3" ht="52.5" x14ac:dyDescent="0.4">
      <c r="A63" s="134" t="s">
        <v>164</v>
      </c>
      <c r="B63" s="136" t="s">
        <v>37</v>
      </c>
      <c r="C63" s="136" t="s">
        <v>225</v>
      </c>
    </row>
    <row r="64" spans="1:3" ht="26.25" x14ac:dyDescent="0.4">
      <c r="A64" s="134" t="s">
        <v>165</v>
      </c>
      <c r="B64" s="136" t="s">
        <v>38</v>
      </c>
      <c r="C64" s="136" t="s">
        <v>203</v>
      </c>
    </row>
    <row r="65" spans="1:3" ht="26.25" x14ac:dyDescent="0.4">
      <c r="A65" s="134" t="s">
        <v>166</v>
      </c>
      <c r="B65" s="136" t="s">
        <v>49</v>
      </c>
      <c r="C65" s="136" t="s">
        <v>202</v>
      </c>
    </row>
    <row r="66" spans="1:3" ht="52.5" x14ac:dyDescent="0.4">
      <c r="A66" s="134" t="s">
        <v>167</v>
      </c>
      <c r="B66" s="136" t="s">
        <v>53</v>
      </c>
      <c r="C66" s="136" t="s">
        <v>226</v>
      </c>
    </row>
    <row r="67" spans="1:3" ht="26.25" x14ac:dyDescent="0.4">
      <c r="A67" s="134" t="s">
        <v>168</v>
      </c>
      <c r="B67" s="136" t="s">
        <v>12</v>
      </c>
      <c r="C67" s="136" t="s">
        <v>213</v>
      </c>
    </row>
    <row r="68" spans="1:3" ht="26.25" x14ac:dyDescent="0.4">
      <c r="A68" s="134" t="s">
        <v>169</v>
      </c>
      <c r="B68" s="136" t="s">
        <v>29</v>
      </c>
      <c r="C68" s="136" t="s">
        <v>207</v>
      </c>
    </row>
    <row r="69" spans="1:3" ht="62.45" customHeight="1" x14ac:dyDescent="0.4">
      <c r="A69" s="134" t="s">
        <v>170</v>
      </c>
      <c r="B69" s="136" t="s">
        <v>233</v>
      </c>
      <c r="C69" s="136" t="s">
        <v>207</v>
      </c>
    </row>
    <row r="70" spans="1:3" ht="52.5" x14ac:dyDescent="0.4">
      <c r="A70" s="134" t="s">
        <v>171</v>
      </c>
      <c r="B70" s="136" t="s">
        <v>30</v>
      </c>
      <c r="C70" s="136" t="s">
        <v>227</v>
      </c>
    </row>
    <row r="71" spans="1:3" ht="26.25" x14ac:dyDescent="0.4">
      <c r="A71" s="134" t="s">
        <v>172</v>
      </c>
      <c r="B71" s="136"/>
      <c r="C71" s="136"/>
    </row>
    <row r="72" spans="1:3" ht="26.25" x14ac:dyDescent="0.4">
      <c r="A72" s="134" t="s">
        <v>173</v>
      </c>
      <c r="B72" s="136"/>
      <c r="C72" s="136"/>
    </row>
    <row r="73" spans="1:3" ht="53.25" thickBot="1" x14ac:dyDescent="0.45">
      <c r="A73" s="135" t="s">
        <v>174</v>
      </c>
      <c r="B73" s="136" t="s">
        <v>61</v>
      </c>
      <c r="C73" s="136" t="s">
        <v>207</v>
      </c>
    </row>
    <row r="74" spans="1:3" ht="23.25" x14ac:dyDescent="0.35">
      <c r="A74" s="2"/>
      <c r="B74" s="3"/>
    </row>
    <row r="75" spans="1:3" ht="23.25" x14ac:dyDescent="0.35">
      <c r="A75" s="2"/>
      <c r="B75" s="3"/>
    </row>
    <row r="76" spans="1:3" ht="23.25" x14ac:dyDescent="0.35">
      <c r="A76" s="2"/>
      <c r="B76" s="3"/>
    </row>
    <row r="77" spans="1:3" ht="23.25" x14ac:dyDescent="0.35">
      <c r="A77" s="2"/>
      <c r="B77" s="3"/>
    </row>
    <row r="78" spans="1:3" ht="23.25" x14ac:dyDescent="0.35">
      <c r="A78" s="2"/>
      <c r="B78" s="3"/>
    </row>
    <row r="79" spans="1:3" ht="23.25" x14ac:dyDescent="0.35">
      <c r="A79" s="2"/>
      <c r="B79" s="3"/>
    </row>
    <row r="80" spans="1:3" ht="23.25" x14ac:dyDescent="0.35">
      <c r="A80" s="2"/>
      <c r="B80" s="3"/>
    </row>
    <row r="81" spans="1:2" ht="23.25" x14ac:dyDescent="0.35">
      <c r="A81" s="2"/>
      <c r="B81" s="3"/>
    </row>
    <row r="82" spans="1:2" ht="23.25" x14ac:dyDescent="0.35">
      <c r="A82" s="2"/>
      <c r="B82" s="3"/>
    </row>
    <row r="83" spans="1:2" ht="23.25" x14ac:dyDescent="0.35">
      <c r="A83" s="2"/>
      <c r="B83" s="3"/>
    </row>
  </sheetData>
  <phoneticPr fontId="3" type="noConversion"/>
  <conditionalFormatting sqref="C2:C73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90E-D7F3-4AC7-8304-4A0D287B9964}">
  <dimension ref="A1:I85"/>
  <sheetViews>
    <sheetView zoomScale="78" zoomScaleNormal="78" workbookViewId="0">
      <selection activeCell="C74" sqref="C74"/>
    </sheetView>
  </sheetViews>
  <sheetFormatPr defaultColWidth="8.85546875" defaultRowHeight="15" x14ac:dyDescent="0.25"/>
  <cols>
    <col min="1" max="1" width="25" customWidth="1"/>
    <col min="2" max="2" width="13.7109375" customWidth="1"/>
    <col min="3" max="3" width="12.28515625" customWidth="1"/>
    <col min="4" max="4" width="13.140625" customWidth="1"/>
    <col min="5" max="5" width="13.42578125" customWidth="1"/>
    <col min="6" max="6" width="12.140625" customWidth="1"/>
    <col min="7" max="7" width="14" customWidth="1"/>
    <col min="8" max="8" width="14.140625" customWidth="1"/>
    <col min="9" max="9" width="17" customWidth="1"/>
  </cols>
  <sheetData>
    <row r="1" spans="1:9" ht="56.25" x14ac:dyDescent="0.25">
      <c r="A1" s="61" t="s">
        <v>102</v>
      </c>
      <c r="B1" s="62" t="s">
        <v>79</v>
      </c>
      <c r="C1" s="62" t="s">
        <v>72</v>
      </c>
      <c r="D1" s="62" t="s">
        <v>73</v>
      </c>
      <c r="E1" s="62" t="s">
        <v>74</v>
      </c>
      <c r="F1" s="62" t="s">
        <v>75</v>
      </c>
      <c r="G1" s="62" t="s">
        <v>76</v>
      </c>
      <c r="H1" s="62" t="s">
        <v>77</v>
      </c>
      <c r="I1" s="62" t="s">
        <v>78</v>
      </c>
    </row>
    <row r="2" spans="1:9" ht="18.75" x14ac:dyDescent="0.3">
      <c r="A2" s="63" t="s">
        <v>103</v>
      </c>
      <c r="B2" s="64">
        <v>302</v>
      </c>
      <c r="C2" s="64">
        <v>25</v>
      </c>
      <c r="D2" s="64">
        <v>15</v>
      </c>
      <c r="E2" s="64">
        <v>32</v>
      </c>
      <c r="F2" s="64">
        <v>65</v>
      </c>
      <c r="G2" s="64">
        <v>60</v>
      </c>
      <c r="H2" s="64">
        <v>60</v>
      </c>
      <c r="I2" s="64">
        <v>45</v>
      </c>
    </row>
    <row r="3" spans="1:9" ht="18.75" x14ac:dyDescent="0.3">
      <c r="A3" s="65" t="s">
        <v>104</v>
      </c>
      <c r="B3" s="64"/>
      <c r="C3" s="64"/>
      <c r="D3" s="64"/>
      <c r="E3" s="64"/>
      <c r="F3" s="64"/>
      <c r="G3" s="64"/>
      <c r="H3" s="64"/>
      <c r="I3" s="64"/>
    </row>
    <row r="4" spans="1:9" ht="18.75" x14ac:dyDescent="0.3">
      <c r="A4" s="63" t="s">
        <v>105</v>
      </c>
      <c r="B4" s="64">
        <v>295</v>
      </c>
      <c r="C4" s="64">
        <v>25</v>
      </c>
      <c r="D4" s="64">
        <v>15</v>
      </c>
      <c r="E4" s="64">
        <v>35</v>
      </c>
      <c r="F4" s="64">
        <v>45</v>
      </c>
      <c r="G4" s="64">
        <v>55</v>
      </c>
      <c r="H4" s="64">
        <v>55</v>
      </c>
      <c r="I4" s="64">
        <v>50</v>
      </c>
    </row>
    <row r="5" spans="1:9" ht="18.75" x14ac:dyDescent="0.3">
      <c r="A5" s="65" t="s">
        <v>106</v>
      </c>
      <c r="B5" s="64"/>
      <c r="C5" s="64"/>
      <c r="D5" s="64"/>
      <c r="E5" s="64"/>
      <c r="F5" s="64"/>
      <c r="G5" s="64"/>
      <c r="H5" s="64"/>
      <c r="I5" s="64"/>
    </row>
    <row r="6" spans="1:9" ht="18.75" x14ac:dyDescent="0.3">
      <c r="A6" s="63" t="s">
        <v>107</v>
      </c>
      <c r="B6" s="64"/>
      <c r="C6" s="64"/>
      <c r="D6" s="64"/>
      <c r="E6" s="64"/>
      <c r="F6" s="64"/>
      <c r="G6" s="64"/>
      <c r="H6" s="64"/>
      <c r="I6" s="64"/>
    </row>
    <row r="7" spans="1:9" ht="18.75" x14ac:dyDescent="0.3">
      <c r="A7" s="65" t="s">
        <v>108</v>
      </c>
      <c r="B7" s="64">
        <v>266</v>
      </c>
      <c r="C7" s="64">
        <v>25</v>
      </c>
      <c r="D7" s="64">
        <v>5</v>
      </c>
      <c r="E7" s="64">
        <v>36</v>
      </c>
      <c r="F7" s="64">
        <v>70</v>
      </c>
      <c r="G7" s="64">
        <v>45</v>
      </c>
      <c r="H7" s="64">
        <v>50</v>
      </c>
      <c r="I7" s="64">
        <v>35</v>
      </c>
    </row>
    <row r="8" spans="1:9" ht="18.75" x14ac:dyDescent="0.3">
      <c r="A8" s="63" t="s">
        <v>109</v>
      </c>
      <c r="B8" s="64">
        <v>293</v>
      </c>
      <c r="C8" s="64">
        <v>25</v>
      </c>
      <c r="D8" s="64">
        <v>15</v>
      </c>
      <c r="E8" s="64">
        <v>33</v>
      </c>
      <c r="F8" s="64">
        <v>60</v>
      </c>
      <c r="G8" s="64">
        <v>50</v>
      </c>
      <c r="H8" s="64">
        <v>55</v>
      </c>
      <c r="I8" s="64">
        <v>55</v>
      </c>
    </row>
    <row r="9" spans="1:9" ht="18.75" x14ac:dyDescent="0.3">
      <c r="A9" s="65" t="s">
        <v>110</v>
      </c>
      <c r="B9" s="64">
        <v>236</v>
      </c>
      <c r="C9" s="64">
        <v>25</v>
      </c>
      <c r="D9" s="64">
        <v>5</v>
      </c>
      <c r="E9" s="64">
        <v>11</v>
      </c>
      <c r="F9" s="64">
        <v>50</v>
      </c>
      <c r="G9" s="64">
        <v>60</v>
      </c>
      <c r="H9" s="64">
        <v>40</v>
      </c>
      <c r="I9" s="64">
        <v>45</v>
      </c>
    </row>
    <row r="10" spans="1:9" ht="18.75" x14ac:dyDescent="0.3">
      <c r="A10" s="63" t="s">
        <v>111</v>
      </c>
      <c r="B10" s="64">
        <v>262</v>
      </c>
      <c r="C10" s="64">
        <v>25</v>
      </c>
      <c r="D10" s="64">
        <v>15</v>
      </c>
      <c r="E10" s="64">
        <v>12</v>
      </c>
      <c r="F10" s="64">
        <v>55</v>
      </c>
      <c r="G10" s="64">
        <v>50</v>
      </c>
      <c r="H10" s="64">
        <v>45</v>
      </c>
      <c r="I10" s="64">
        <v>60</v>
      </c>
    </row>
    <row r="11" spans="1:9" ht="18.75" x14ac:dyDescent="0.3">
      <c r="A11" s="65" t="s">
        <v>112</v>
      </c>
      <c r="B11" s="64"/>
      <c r="C11" s="64"/>
      <c r="D11" s="64"/>
      <c r="E11" s="64"/>
      <c r="F11" s="64"/>
      <c r="G11" s="64"/>
      <c r="H11" s="64"/>
      <c r="I11" s="64"/>
    </row>
    <row r="12" spans="1:9" ht="18.75" x14ac:dyDescent="0.3">
      <c r="A12" s="63" t="s">
        <v>113</v>
      </c>
      <c r="B12" s="64">
        <v>286</v>
      </c>
      <c r="C12" s="64">
        <v>25</v>
      </c>
      <c r="D12" s="64">
        <v>15</v>
      </c>
      <c r="E12" s="64">
        <v>21</v>
      </c>
      <c r="F12" s="64">
        <v>65</v>
      </c>
      <c r="G12" s="64">
        <v>55</v>
      </c>
      <c r="H12" s="64">
        <v>55</v>
      </c>
      <c r="I12" s="64">
        <v>50</v>
      </c>
    </row>
    <row r="13" spans="1:9" ht="18.75" x14ac:dyDescent="0.3">
      <c r="A13" s="65" t="s">
        <v>114</v>
      </c>
      <c r="B13" s="64">
        <v>267</v>
      </c>
      <c r="C13" s="64">
        <v>25</v>
      </c>
      <c r="D13" s="64">
        <v>15</v>
      </c>
      <c r="E13" s="64">
        <v>17</v>
      </c>
      <c r="F13" s="64">
        <v>60</v>
      </c>
      <c r="G13" s="64">
        <v>60</v>
      </c>
      <c r="H13" s="64">
        <v>45</v>
      </c>
      <c r="I13" s="64">
        <v>45</v>
      </c>
    </row>
    <row r="14" spans="1:9" ht="18.75" x14ac:dyDescent="0.3">
      <c r="A14" s="63" t="s">
        <v>115</v>
      </c>
      <c r="B14" s="64"/>
      <c r="C14" s="64"/>
      <c r="D14" s="64"/>
      <c r="E14" s="64"/>
      <c r="F14" s="64"/>
      <c r="G14" s="64"/>
      <c r="H14" s="64"/>
      <c r="I14" s="64"/>
    </row>
    <row r="15" spans="1:9" ht="18.75" x14ac:dyDescent="0.3">
      <c r="A15" s="65" t="s">
        <v>116</v>
      </c>
      <c r="B15" s="64">
        <v>269</v>
      </c>
      <c r="C15" s="64">
        <v>25</v>
      </c>
      <c r="D15" s="64">
        <v>15</v>
      </c>
      <c r="E15" s="64">
        <v>19</v>
      </c>
      <c r="F15" s="64">
        <v>65</v>
      </c>
      <c r="G15" s="64">
        <v>55</v>
      </c>
      <c r="H15" s="64">
        <v>45</v>
      </c>
      <c r="I15" s="64">
        <v>45</v>
      </c>
    </row>
    <row r="16" spans="1:9" ht="18.75" x14ac:dyDescent="0.3">
      <c r="A16" s="63" t="s">
        <v>117</v>
      </c>
      <c r="B16" s="64"/>
      <c r="C16" s="64">
        <v>25</v>
      </c>
      <c r="D16" s="64">
        <v>15</v>
      </c>
      <c r="E16" s="64">
        <v>16</v>
      </c>
      <c r="F16" s="64"/>
      <c r="G16" s="64">
        <v>60</v>
      </c>
      <c r="H16" s="64">
        <v>50</v>
      </c>
      <c r="I16" s="64">
        <v>40</v>
      </c>
    </row>
    <row r="17" spans="1:9" ht="18.75" x14ac:dyDescent="0.3">
      <c r="A17" s="65" t="s">
        <v>118</v>
      </c>
      <c r="B17" s="64">
        <v>303</v>
      </c>
      <c r="C17" s="64">
        <v>25</v>
      </c>
      <c r="D17" s="64">
        <v>15</v>
      </c>
      <c r="E17" s="64">
        <v>33</v>
      </c>
      <c r="F17" s="64">
        <v>65</v>
      </c>
      <c r="G17" s="64">
        <v>60</v>
      </c>
      <c r="H17" s="64">
        <v>50</v>
      </c>
      <c r="I17" s="64">
        <v>55</v>
      </c>
    </row>
    <row r="18" spans="1:9" ht="18.75" x14ac:dyDescent="0.3">
      <c r="A18" s="63" t="s">
        <v>119</v>
      </c>
      <c r="B18" s="64">
        <v>5</v>
      </c>
      <c r="C18" s="64"/>
      <c r="D18" s="64"/>
      <c r="E18" s="64"/>
      <c r="F18" s="64"/>
      <c r="G18" s="64"/>
      <c r="H18" s="64"/>
      <c r="I18" s="64"/>
    </row>
    <row r="19" spans="1:9" ht="18.75" x14ac:dyDescent="0.3">
      <c r="A19" s="65" t="s">
        <v>120</v>
      </c>
      <c r="B19" s="64"/>
      <c r="C19" s="64"/>
      <c r="D19" s="64"/>
      <c r="E19" s="64"/>
      <c r="F19" s="64"/>
      <c r="G19" s="64"/>
      <c r="H19" s="64"/>
      <c r="I19" s="64"/>
    </row>
    <row r="20" spans="1:9" ht="18.75" x14ac:dyDescent="0.3">
      <c r="A20" s="63" t="s">
        <v>121</v>
      </c>
      <c r="B20" s="64">
        <v>234</v>
      </c>
      <c r="C20" s="64">
        <v>25</v>
      </c>
      <c r="D20" s="64">
        <v>15</v>
      </c>
      <c r="E20" s="64">
        <v>9</v>
      </c>
      <c r="F20" s="64">
        <v>45</v>
      </c>
      <c r="G20" s="64">
        <v>45</v>
      </c>
      <c r="H20" s="64">
        <v>35</v>
      </c>
      <c r="I20" s="64">
        <v>60</v>
      </c>
    </row>
    <row r="21" spans="1:9" ht="18.75" x14ac:dyDescent="0.3">
      <c r="A21" s="65" t="s">
        <v>122</v>
      </c>
      <c r="B21" s="64">
        <v>265</v>
      </c>
      <c r="C21" s="64">
        <v>25</v>
      </c>
      <c r="D21" s="64">
        <v>15</v>
      </c>
      <c r="E21" s="64">
        <v>20</v>
      </c>
      <c r="F21" s="64">
        <v>60</v>
      </c>
      <c r="G21" s="64">
        <v>50</v>
      </c>
      <c r="H21" s="64">
        <v>45</v>
      </c>
      <c r="I21" s="64">
        <v>50</v>
      </c>
    </row>
    <row r="22" spans="1:9" ht="18.75" x14ac:dyDescent="0.3">
      <c r="A22" s="63" t="s">
        <v>123</v>
      </c>
      <c r="B22" s="64">
        <v>291</v>
      </c>
      <c r="C22" s="64">
        <v>25</v>
      </c>
      <c r="D22" s="64">
        <v>15</v>
      </c>
      <c r="E22" s="64">
        <v>26</v>
      </c>
      <c r="F22" s="64">
        <v>70</v>
      </c>
      <c r="G22" s="64">
        <v>60</v>
      </c>
      <c r="H22" s="64">
        <v>45</v>
      </c>
      <c r="I22" s="64">
        <v>50</v>
      </c>
    </row>
    <row r="23" spans="1:9" ht="18.75" x14ac:dyDescent="0.3">
      <c r="A23" s="65" t="s">
        <v>124</v>
      </c>
      <c r="B23" s="64">
        <v>266</v>
      </c>
      <c r="C23" s="64">
        <v>25</v>
      </c>
      <c r="D23" s="64">
        <v>15</v>
      </c>
      <c r="E23" s="64">
        <v>21</v>
      </c>
      <c r="F23" s="64">
        <v>65</v>
      </c>
      <c r="G23" s="64">
        <v>35</v>
      </c>
      <c r="H23" s="64">
        <v>50</v>
      </c>
      <c r="I23" s="64">
        <v>55</v>
      </c>
    </row>
    <row r="24" spans="1:9" ht="18.75" x14ac:dyDescent="0.3">
      <c r="A24" s="63" t="s">
        <v>125</v>
      </c>
      <c r="B24" s="64">
        <v>274</v>
      </c>
      <c r="C24" s="64">
        <v>25</v>
      </c>
      <c r="D24" s="64">
        <v>15</v>
      </c>
      <c r="E24" s="64">
        <v>9</v>
      </c>
      <c r="F24" s="64">
        <v>65</v>
      </c>
      <c r="G24" s="64">
        <v>60</v>
      </c>
      <c r="H24" s="64">
        <v>40</v>
      </c>
      <c r="I24" s="64">
        <v>45</v>
      </c>
    </row>
    <row r="25" spans="1:9" ht="18.75" x14ac:dyDescent="0.3">
      <c r="A25" s="65" t="s">
        <v>126</v>
      </c>
      <c r="B25" s="64">
        <v>225</v>
      </c>
      <c r="C25" s="64"/>
      <c r="D25" s="64">
        <v>15</v>
      </c>
      <c r="E25" s="64">
        <v>15</v>
      </c>
      <c r="F25" s="64">
        <v>10</v>
      </c>
      <c r="G25" s="64">
        <v>60</v>
      </c>
      <c r="H25" s="64">
        <v>60</v>
      </c>
      <c r="I25" s="64">
        <v>35</v>
      </c>
    </row>
    <row r="26" spans="1:9" ht="18.75" x14ac:dyDescent="0.3">
      <c r="A26" s="63" t="s">
        <v>127</v>
      </c>
      <c r="B26" s="64">
        <v>266</v>
      </c>
      <c r="C26" s="64">
        <v>25</v>
      </c>
      <c r="D26" s="64">
        <v>15</v>
      </c>
      <c r="E26" s="64">
        <v>16</v>
      </c>
      <c r="F26" s="64">
        <v>55</v>
      </c>
      <c r="G26" s="64">
        <v>45</v>
      </c>
      <c r="H26" s="64">
        <v>40</v>
      </c>
      <c r="I26" s="64">
        <v>60</v>
      </c>
    </row>
    <row r="27" spans="1:9" ht="18.75" x14ac:dyDescent="0.3">
      <c r="A27" s="65" t="s">
        <v>128</v>
      </c>
      <c r="B27" s="64"/>
      <c r="C27" s="64"/>
      <c r="D27" s="64"/>
      <c r="E27" s="64"/>
      <c r="F27" s="64"/>
      <c r="G27" s="64"/>
      <c r="H27" s="64"/>
      <c r="I27" s="64"/>
    </row>
    <row r="28" spans="1:9" ht="18.75" x14ac:dyDescent="0.3">
      <c r="A28" s="63" t="s">
        <v>129</v>
      </c>
      <c r="B28" s="64">
        <v>258</v>
      </c>
      <c r="C28" s="64">
        <v>25</v>
      </c>
      <c r="D28" s="64">
        <v>15</v>
      </c>
      <c r="E28" s="64">
        <v>13</v>
      </c>
      <c r="F28" s="64">
        <v>45</v>
      </c>
      <c r="G28" s="64">
        <v>55</v>
      </c>
      <c r="H28" s="64">
        <v>55</v>
      </c>
      <c r="I28" s="64">
        <v>50</v>
      </c>
    </row>
    <row r="29" spans="1:9" ht="18.75" x14ac:dyDescent="0.3">
      <c r="A29" s="65" t="s">
        <v>130</v>
      </c>
      <c r="B29" s="64">
        <v>265</v>
      </c>
      <c r="C29" s="64">
        <v>25</v>
      </c>
      <c r="D29" s="64">
        <v>15</v>
      </c>
      <c r="E29" s="64">
        <v>60</v>
      </c>
      <c r="F29" s="64">
        <v>60</v>
      </c>
      <c r="G29" s="64">
        <v>50</v>
      </c>
      <c r="H29" s="64">
        <v>45</v>
      </c>
      <c r="I29" s="64">
        <v>55</v>
      </c>
    </row>
    <row r="30" spans="1:9" ht="18.75" x14ac:dyDescent="0.3">
      <c r="A30" s="63" t="s">
        <v>131</v>
      </c>
      <c r="B30" s="64">
        <v>232</v>
      </c>
      <c r="C30" s="64">
        <v>15</v>
      </c>
      <c r="D30" s="64">
        <v>5</v>
      </c>
      <c r="E30" s="64">
        <v>22</v>
      </c>
      <c r="F30" s="64">
        <v>60</v>
      </c>
      <c r="G30" s="64">
        <v>50</v>
      </c>
      <c r="H30" s="64">
        <v>40</v>
      </c>
      <c r="I30" s="64">
        <v>40</v>
      </c>
    </row>
    <row r="31" spans="1:9" ht="18.75" x14ac:dyDescent="0.3">
      <c r="A31" s="65" t="s">
        <v>132</v>
      </c>
      <c r="B31" s="64">
        <v>217</v>
      </c>
      <c r="C31" s="64">
        <v>25</v>
      </c>
      <c r="D31" s="64">
        <v>15</v>
      </c>
      <c r="E31" s="64">
        <v>12</v>
      </c>
      <c r="F31" s="64">
        <v>35</v>
      </c>
      <c r="G31" s="64">
        <v>55</v>
      </c>
      <c r="H31" s="64">
        <v>40</v>
      </c>
      <c r="I31" s="64">
        <v>35</v>
      </c>
    </row>
    <row r="32" spans="1:9" ht="18.75" x14ac:dyDescent="0.3">
      <c r="A32" s="63" t="s">
        <v>133</v>
      </c>
      <c r="B32" s="64">
        <v>214</v>
      </c>
      <c r="C32" s="64">
        <v>25</v>
      </c>
      <c r="D32" s="64">
        <v>15</v>
      </c>
      <c r="E32" s="64">
        <v>9</v>
      </c>
      <c r="F32" s="64">
        <v>10</v>
      </c>
      <c r="G32" s="64">
        <v>55</v>
      </c>
      <c r="H32" s="64">
        <v>50</v>
      </c>
      <c r="I32" s="64">
        <v>50</v>
      </c>
    </row>
    <row r="33" spans="1:9" ht="18.75" x14ac:dyDescent="0.3">
      <c r="A33" s="65" t="s">
        <v>134</v>
      </c>
      <c r="B33" s="64">
        <v>253</v>
      </c>
      <c r="C33" s="64">
        <v>25</v>
      </c>
      <c r="D33" s="64">
        <v>15</v>
      </c>
      <c r="E33" s="64">
        <v>28</v>
      </c>
      <c r="F33" s="64">
        <v>65</v>
      </c>
      <c r="G33" s="64">
        <v>45</v>
      </c>
      <c r="H33" s="64">
        <v>35</v>
      </c>
      <c r="I33" s="64">
        <v>40</v>
      </c>
    </row>
    <row r="34" spans="1:9" ht="18.75" x14ac:dyDescent="0.3">
      <c r="A34" s="63" t="s">
        <v>135</v>
      </c>
      <c r="B34" s="64">
        <v>276</v>
      </c>
      <c r="C34" s="64">
        <v>25</v>
      </c>
      <c r="D34" s="64">
        <v>15</v>
      </c>
      <c r="E34" s="64">
        <v>16</v>
      </c>
      <c r="F34" s="64">
        <v>52</v>
      </c>
      <c r="G34" s="64">
        <v>55</v>
      </c>
      <c r="H34" s="64">
        <v>60</v>
      </c>
      <c r="I34" s="64">
        <v>55</v>
      </c>
    </row>
    <row r="35" spans="1:9" ht="18.75" x14ac:dyDescent="0.3">
      <c r="A35" s="65" t="s">
        <v>136</v>
      </c>
      <c r="B35" s="64">
        <v>212</v>
      </c>
      <c r="C35" s="64">
        <v>25</v>
      </c>
      <c r="D35" s="64">
        <v>0</v>
      </c>
      <c r="E35" s="64">
        <v>12</v>
      </c>
      <c r="F35" s="64">
        <v>60</v>
      </c>
      <c r="G35" s="64">
        <v>45</v>
      </c>
      <c r="H35" s="64">
        <v>35</v>
      </c>
      <c r="I35" s="64">
        <v>35</v>
      </c>
    </row>
    <row r="36" spans="1:9" ht="18.75" x14ac:dyDescent="0.3">
      <c r="A36" s="63" t="s">
        <v>137</v>
      </c>
      <c r="B36" s="64"/>
      <c r="C36" s="64"/>
      <c r="D36" s="64"/>
      <c r="E36" s="64"/>
      <c r="F36" s="64"/>
      <c r="G36" s="64"/>
      <c r="H36" s="64"/>
      <c r="I36" s="64"/>
    </row>
    <row r="37" spans="1:9" ht="18.75" x14ac:dyDescent="0.3">
      <c r="A37" s="65" t="s">
        <v>138</v>
      </c>
      <c r="B37" s="64">
        <v>214</v>
      </c>
      <c r="C37" s="64">
        <v>25</v>
      </c>
      <c r="D37" s="64">
        <v>15</v>
      </c>
      <c r="E37" s="64">
        <v>9</v>
      </c>
      <c r="F37" s="64">
        <v>50</v>
      </c>
      <c r="G37" s="64">
        <v>35</v>
      </c>
      <c r="H37" s="64">
        <v>45</v>
      </c>
      <c r="I37" s="64">
        <v>35</v>
      </c>
    </row>
    <row r="38" spans="1:9" ht="18.75" x14ac:dyDescent="0.3">
      <c r="A38" s="63" t="s">
        <v>139</v>
      </c>
      <c r="B38" s="64">
        <v>11</v>
      </c>
      <c r="C38" s="64"/>
      <c r="D38" s="64"/>
      <c r="E38" s="64"/>
      <c r="F38" s="64"/>
      <c r="G38" s="64"/>
      <c r="H38" s="64"/>
      <c r="I38" s="64"/>
    </row>
    <row r="39" spans="1:9" ht="18.75" x14ac:dyDescent="0.3">
      <c r="A39" s="65" t="s">
        <v>140</v>
      </c>
      <c r="B39" s="64">
        <v>252</v>
      </c>
      <c r="C39" s="64">
        <v>25</v>
      </c>
      <c r="D39" s="64">
        <v>15</v>
      </c>
      <c r="E39" s="64">
        <v>12</v>
      </c>
      <c r="F39" s="64">
        <v>50</v>
      </c>
      <c r="G39" s="64">
        <v>60</v>
      </c>
      <c r="H39" s="64">
        <v>45</v>
      </c>
      <c r="I39" s="64">
        <v>45</v>
      </c>
    </row>
    <row r="40" spans="1:9" ht="18.75" x14ac:dyDescent="0.3">
      <c r="A40" s="63" t="s">
        <v>141</v>
      </c>
      <c r="B40" s="64"/>
      <c r="C40" s="64"/>
      <c r="D40" s="64"/>
      <c r="E40" s="64"/>
      <c r="F40" s="64"/>
      <c r="G40" s="64"/>
      <c r="H40" s="64"/>
      <c r="I40" s="64"/>
    </row>
    <row r="41" spans="1:9" ht="18.75" x14ac:dyDescent="0.3">
      <c r="A41" s="65" t="s">
        <v>142</v>
      </c>
      <c r="B41" s="64">
        <v>244</v>
      </c>
      <c r="C41" s="64">
        <v>25</v>
      </c>
      <c r="D41" s="64">
        <v>5</v>
      </c>
      <c r="E41" s="64">
        <v>19</v>
      </c>
      <c r="F41" s="64">
        <v>65</v>
      </c>
      <c r="G41" s="64">
        <v>40</v>
      </c>
      <c r="H41" s="64">
        <v>45</v>
      </c>
      <c r="I41" s="64">
        <v>40</v>
      </c>
    </row>
    <row r="42" spans="1:9" ht="18.75" x14ac:dyDescent="0.3">
      <c r="A42" s="63" t="s">
        <v>143</v>
      </c>
      <c r="B42" s="64">
        <v>281</v>
      </c>
      <c r="C42" s="64">
        <v>25</v>
      </c>
      <c r="D42" s="64">
        <v>15</v>
      </c>
      <c r="E42" s="64">
        <v>16</v>
      </c>
      <c r="F42" s="64">
        <v>55</v>
      </c>
      <c r="G42" s="64">
        <v>55</v>
      </c>
      <c r="H42" s="64">
        <v>60</v>
      </c>
      <c r="I42" s="64">
        <v>50</v>
      </c>
    </row>
    <row r="43" spans="1:9" ht="18.75" x14ac:dyDescent="0.3">
      <c r="A43" s="65" t="s">
        <v>144</v>
      </c>
      <c r="B43" s="64">
        <v>323</v>
      </c>
      <c r="C43" s="64">
        <v>25</v>
      </c>
      <c r="D43" s="64">
        <v>15</v>
      </c>
      <c r="E43" s="64">
        <v>38</v>
      </c>
      <c r="F43" s="64">
        <v>75</v>
      </c>
      <c r="G43" s="64">
        <v>55</v>
      </c>
      <c r="H43" s="64">
        <v>60</v>
      </c>
      <c r="I43" s="64">
        <v>55</v>
      </c>
    </row>
    <row r="44" spans="1:9" ht="18.75" x14ac:dyDescent="0.3">
      <c r="A44" s="63" t="s">
        <v>145</v>
      </c>
      <c r="B44" s="64"/>
      <c r="C44" s="64"/>
      <c r="D44" s="64"/>
      <c r="E44" s="64"/>
      <c r="F44" s="64"/>
      <c r="G44" s="64"/>
      <c r="H44" s="64"/>
      <c r="I44" s="64"/>
    </row>
    <row r="45" spans="1:9" ht="18.75" x14ac:dyDescent="0.3">
      <c r="A45" s="65" t="s">
        <v>146</v>
      </c>
      <c r="B45" s="64">
        <v>261</v>
      </c>
      <c r="C45" s="64">
        <v>25</v>
      </c>
      <c r="D45" s="64">
        <v>10</v>
      </c>
      <c r="E45" s="64">
        <v>26</v>
      </c>
      <c r="F45" s="64">
        <v>70</v>
      </c>
      <c r="G45" s="64">
        <v>10</v>
      </c>
      <c r="H45" s="64">
        <v>45</v>
      </c>
      <c r="I45" s="64">
        <v>35</v>
      </c>
    </row>
    <row r="46" spans="1:9" ht="18.75" x14ac:dyDescent="0.3">
      <c r="A46" s="63" t="s">
        <v>147</v>
      </c>
      <c r="B46" s="64">
        <v>283</v>
      </c>
      <c r="C46" s="64">
        <v>25</v>
      </c>
      <c r="D46" s="64">
        <v>15</v>
      </c>
      <c r="E46" s="64">
        <v>18</v>
      </c>
      <c r="F46" s="64">
        <v>70</v>
      </c>
      <c r="G46" s="64">
        <v>60</v>
      </c>
      <c r="H46" s="64">
        <v>35</v>
      </c>
      <c r="I46" s="64">
        <v>60</v>
      </c>
    </row>
    <row r="47" spans="1:9" ht="18.75" x14ac:dyDescent="0.3">
      <c r="A47" s="65" t="s">
        <v>148</v>
      </c>
      <c r="B47" s="64">
        <v>302</v>
      </c>
      <c r="C47" s="64">
        <v>25</v>
      </c>
      <c r="D47" s="64">
        <v>15</v>
      </c>
      <c r="E47" s="64">
        <v>37</v>
      </c>
      <c r="F47" s="64">
        <v>80</v>
      </c>
      <c r="G47" s="64">
        <v>55</v>
      </c>
      <c r="H47" s="64">
        <v>55</v>
      </c>
      <c r="I47" s="64">
        <v>35</v>
      </c>
    </row>
    <row r="48" spans="1:9" ht="18.75" x14ac:dyDescent="0.3">
      <c r="A48" s="63" t="s">
        <v>149</v>
      </c>
      <c r="B48" s="64"/>
      <c r="C48" s="64"/>
      <c r="D48" s="64"/>
      <c r="E48" s="64"/>
      <c r="F48" s="64"/>
      <c r="G48" s="64"/>
      <c r="H48" s="64"/>
      <c r="I48" s="64"/>
    </row>
    <row r="49" spans="1:9" ht="18.75" x14ac:dyDescent="0.3">
      <c r="A49" s="65" t="s">
        <v>150</v>
      </c>
      <c r="B49" s="64"/>
      <c r="C49" s="64"/>
      <c r="D49" s="64"/>
      <c r="E49" s="64"/>
      <c r="F49" s="64"/>
      <c r="G49" s="64"/>
      <c r="H49" s="64"/>
      <c r="I49" s="64"/>
    </row>
    <row r="50" spans="1:9" ht="18.75" x14ac:dyDescent="0.3">
      <c r="A50" s="63" t="s">
        <v>151</v>
      </c>
      <c r="B50" s="64">
        <v>90</v>
      </c>
      <c r="C50" s="64"/>
      <c r="D50" s="64"/>
      <c r="E50" s="64"/>
      <c r="F50" s="64">
        <v>0</v>
      </c>
      <c r="G50" s="64">
        <v>0</v>
      </c>
      <c r="H50" s="64">
        <v>0</v>
      </c>
      <c r="I50" s="64">
        <v>0</v>
      </c>
    </row>
    <row r="51" spans="1:9" ht="18.75" x14ac:dyDescent="0.3">
      <c r="A51" s="65" t="s">
        <v>152</v>
      </c>
      <c r="B51" s="64">
        <v>206</v>
      </c>
      <c r="C51" s="64">
        <v>15</v>
      </c>
      <c r="D51" s="64">
        <v>0</v>
      </c>
      <c r="E51" s="64">
        <v>11</v>
      </c>
      <c r="F51" s="64">
        <v>30</v>
      </c>
      <c r="G51" s="64">
        <v>55</v>
      </c>
      <c r="H51" s="64">
        <v>50</v>
      </c>
      <c r="I51" s="64">
        <v>45</v>
      </c>
    </row>
    <row r="52" spans="1:9" ht="18.75" x14ac:dyDescent="0.3">
      <c r="A52" s="63" t="s">
        <v>153</v>
      </c>
      <c r="B52" s="64">
        <v>298</v>
      </c>
      <c r="C52" s="64">
        <v>25</v>
      </c>
      <c r="D52" s="64">
        <v>10</v>
      </c>
      <c r="E52" s="64">
        <v>23</v>
      </c>
      <c r="F52" s="64">
        <v>70</v>
      </c>
      <c r="G52" s="64">
        <v>50</v>
      </c>
      <c r="H52" s="64">
        <v>60</v>
      </c>
      <c r="I52" s="64">
        <v>60</v>
      </c>
    </row>
    <row r="53" spans="1:9" ht="18.75" x14ac:dyDescent="0.3">
      <c r="A53" s="65" t="s">
        <v>154</v>
      </c>
      <c r="B53" s="64">
        <v>247</v>
      </c>
      <c r="C53" s="64">
        <v>25</v>
      </c>
      <c r="D53" s="64">
        <v>15</v>
      </c>
      <c r="E53" s="64">
        <v>12</v>
      </c>
      <c r="F53" s="64">
        <v>50</v>
      </c>
      <c r="G53" s="64">
        <v>55</v>
      </c>
      <c r="H53" s="64">
        <v>45</v>
      </c>
      <c r="I53" s="64">
        <v>45</v>
      </c>
    </row>
    <row r="54" spans="1:9" ht="18.75" x14ac:dyDescent="0.3">
      <c r="A54" s="63" t="s">
        <v>155</v>
      </c>
      <c r="B54" s="64">
        <v>267</v>
      </c>
      <c r="C54" s="64">
        <v>25</v>
      </c>
      <c r="D54" s="64">
        <v>15</v>
      </c>
      <c r="E54" s="64">
        <v>22</v>
      </c>
      <c r="F54" s="64">
        <v>50</v>
      </c>
      <c r="G54" s="64">
        <v>55</v>
      </c>
      <c r="H54" s="64">
        <v>55</v>
      </c>
      <c r="I54" s="64">
        <v>45</v>
      </c>
    </row>
    <row r="55" spans="1:9" ht="18.75" x14ac:dyDescent="0.3">
      <c r="A55" s="65" t="s">
        <v>156</v>
      </c>
      <c r="B55" s="64">
        <v>252</v>
      </c>
      <c r="C55" s="64">
        <v>25</v>
      </c>
      <c r="D55" s="64">
        <v>15</v>
      </c>
      <c r="E55" s="64">
        <v>12</v>
      </c>
      <c r="F55" s="64">
        <v>45</v>
      </c>
      <c r="G55" s="64">
        <v>50</v>
      </c>
      <c r="H55" s="64">
        <v>50</v>
      </c>
      <c r="I55" s="64">
        <v>45</v>
      </c>
    </row>
    <row r="56" spans="1:9" ht="18.75" x14ac:dyDescent="0.3">
      <c r="A56" s="63" t="s">
        <v>157</v>
      </c>
      <c r="B56" s="64"/>
      <c r="C56" s="64"/>
      <c r="D56" s="64"/>
      <c r="E56" s="64"/>
      <c r="F56" s="64"/>
      <c r="G56" s="64"/>
      <c r="H56" s="64"/>
      <c r="I56" s="64"/>
    </row>
    <row r="57" spans="1:9" ht="18.75" x14ac:dyDescent="0.3">
      <c r="A57" s="65" t="s">
        <v>158</v>
      </c>
      <c r="B57" s="64"/>
      <c r="C57" s="64"/>
      <c r="D57" s="64"/>
      <c r="E57" s="64"/>
      <c r="F57" s="64"/>
      <c r="G57" s="64"/>
      <c r="H57" s="64"/>
      <c r="I57" s="64"/>
    </row>
    <row r="58" spans="1:9" ht="18.75" x14ac:dyDescent="0.3">
      <c r="A58" s="63" t="s">
        <v>159</v>
      </c>
      <c r="B58" s="64"/>
      <c r="C58" s="64"/>
      <c r="D58" s="64"/>
      <c r="E58" s="64"/>
      <c r="F58" s="64"/>
      <c r="G58" s="64"/>
      <c r="H58" s="64"/>
      <c r="I58" s="64"/>
    </row>
    <row r="59" spans="1:9" ht="18.75" x14ac:dyDescent="0.3">
      <c r="A59" s="65" t="s">
        <v>160</v>
      </c>
      <c r="B59" s="64">
        <v>292</v>
      </c>
      <c r="C59" s="64">
        <v>25</v>
      </c>
      <c r="D59" s="64">
        <v>10</v>
      </c>
      <c r="E59" s="64">
        <v>32</v>
      </c>
      <c r="F59" s="64">
        <v>70</v>
      </c>
      <c r="G59" s="64">
        <v>55</v>
      </c>
      <c r="H59" s="64">
        <v>50</v>
      </c>
      <c r="I59" s="64">
        <v>50</v>
      </c>
    </row>
    <row r="60" spans="1:9" ht="18.75" x14ac:dyDescent="0.3">
      <c r="A60" s="63" t="s">
        <v>161</v>
      </c>
      <c r="B60" s="64">
        <v>245</v>
      </c>
      <c r="C60" s="64">
        <v>20</v>
      </c>
      <c r="D60" s="64">
        <v>5</v>
      </c>
      <c r="E60" s="64">
        <v>25</v>
      </c>
      <c r="F60" s="64">
        <v>50</v>
      </c>
      <c r="G60" s="64">
        <v>55</v>
      </c>
      <c r="H60" s="64">
        <v>45</v>
      </c>
      <c r="I60" s="64">
        <v>45</v>
      </c>
    </row>
    <row r="61" spans="1:9" ht="18.75" x14ac:dyDescent="0.3">
      <c r="A61" s="65" t="s">
        <v>162</v>
      </c>
      <c r="B61" s="64"/>
      <c r="C61" s="64"/>
      <c r="D61" s="64"/>
      <c r="E61" s="64"/>
      <c r="F61" s="64"/>
      <c r="G61" s="64"/>
      <c r="H61" s="64"/>
      <c r="I61" s="64"/>
    </row>
    <row r="62" spans="1:9" ht="18.75" x14ac:dyDescent="0.3">
      <c r="A62" s="63" t="s">
        <v>163</v>
      </c>
      <c r="B62" s="64">
        <v>203</v>
      </c>
      <c r="C62" s="64">
        <v>25</v>
      </c>
      <c r="D62" s="64">
        <v>15</v>
      </c>
      <c r="E62" s="64">
        <v>8</v>
      </c>
      <c r="F62" s="64">
        <v>45</v>
      </c>
      <c r="G62" s="64">
        <v>35</v>
      </c>
      <c r="H62" s="64">
        <v>40</v>
      </c>
      <c r="I62" s="64">
        <v>35</v>
      </c>
    </row>
    <row r="63" spans="1:9" ht="18.75" x14ac:dyDescent="0.3">
      <c r="A63" s="65" t="s">
        <v>164</v>
      </c>
      <c r="B63" s="64">
        <v>236</v>
      </c>
      <c r="C63" s="64">
        <v>25</v>
      </c>
      <c r="D63" s="64">
        <v>15</v>
      </c>
      <c r="E63" s="64">
        <v>11</v>
      </c>
      <c r="F63" s="64">
        <v>55</v>
      </c>
      <c r="G63" s="64">
        <v>40</v>
      </c>
      <c r="H63" s="64">
        <v>40</v>
      </c>
      <c r="I63" s="64">
        <v>50</v>
      </c>
    </row>
    <row r="64" spans="1:9" ht="18.75" x14ac:dyDescent="0.3">
      <c r="A64" s="63" t="s">
        <v>165</v>
      </c>
      <c r="B64" s="64"/>
      <c r="C64" s="64"/>
      <c r="D64" s="64"/>
      <c r="E64" s="64"/>
      <c r="F64" s="64"/>
      <c r="G64" s="64"/>
      <c r="H64" s="64"/>
      <c r="I64" s="64"/>
    </row>
    <row r="65" spans="1:9" ht="18.75" x14ac:dyDescent="0.3">
      <c r="A65" s="65" t="s">
        <v>166</v>
      </c>
      <c r="B65" s="64">
        <v>229</v>
      </c>
      <c r="C65" s="64"/>
      <c r="D65" s="64"/>
      <c r="E65" s="64"/>
      <c r="F65" s="64"/>
      <c r="G65" s="64"/>
      <c r="H65" s="64"/>
      <c r="I65" s="64"/>
    </row>
    <row r="66" spans="1:9" ht="18.75" x14ac:dyDescent="0.3">
      <c r="A66" s="63" t="s">
        <v>167</v>
      </c>
      <c r="B66" s="64"/>
      <c r="C66" s="64"/>
      <c r="D66" s="64"/>
      <c r="E66" s="64"/>
      <c r="F66" s="64"/>
      <c r="G66" s="64"/>
      <c r="H66" s="64"/>
      <c r="I66" s="64"/>
    </row>
    <row r="67" spans="1:9" ht="18.75" x14ac:dyDescent="0.3">
      <c r="A67" s="65" t="s">
        <v>168</v>
      </c>
      <c r="B67" s="64">
        <v>292</v>
      </c>
      <c r="C67" s="64">
        <v>30</v>
      </c>
      <c r="D67" s="64">
        <v>15</v>
      </c>
      <c r="E67" s="64">
        <v>17</v>
      </c>
      <c r="F67" s="64">
        <v>55</v>
      </c>
      <c r="G67" s="64">
        <v>55</v>
      </c>
      <c r="H67" s="64">
        <v>60</v>
      </c>
      <c r="I67" s="64">
        <v>60</v>
      </c>
    </row>
    <row r="68" spans="1:9" ht="18.75" x14ac:dyDescent="0.3">
      <c r="A68" s="63" t="s">
        <v>169</v>
      </c>
      <c r="B68" s="64">
        <v>238</v>
      </c>
      <c r="C68" s="64">
        <v>25</v>
      </c>
      <c r="D68" s="64">
        <v>15</v>
      </c>
      <c r="E68" s="64">
        <v>13</v>
      </c>
      <c r="F68" s="64">
        <v>50</v>
      </c>
      <c r="G68" s="64">
        <v>45</v>
      </c>
      <c r="H68" s="64">
        <v>55</v>
      </c>
      <c r="I68" s="64">
        <v>35</v>
      </c>
    </row>
    <row r="69" spans="1:9" ht="18.75" x14ac:dyDescent="0.3">
      <c r="A69" s="65" t="s">
        <v>170</v>
      </c>
      <c r="B69" s="64">
        <v>240</v>
      </c>
      <c r="C69" s="64">
        <v>25</v>
      </c>
      <c r="D69" s="64">
        <v>15</v>
      </c>
      <c r="E69" s="64">
        <v>20</v>
      </c>
      <c r="F69" s="64">
        <v>50</v>
      </c>
      <c r="G69" s="64">
        <v>45</v>
      </c>
      <c r="H69" s="64">
        <v>45</v>
      </c>
      <c r="I69" s="64">
        <v>40</v>
      </c>
    </row>
    <row r="70" spans="1:9" ht="18.75" x14ac:dyDescent="0.3">
      <c r="A70" s="63" t="s">
        <v>171</v>
      </c>
      <c r="B70" s="64">
        <v>233</v>
      </c>
      <c r="C70" s="64">
        <v>25</v>
      </c>
      <c r="D70" s="64">
        <v>15</v>
      </c>
      <c r="E70" s="64">
        <v>23</v>
      </c>
      <c r="F70" s="64">
        <v>45</v>
      </c>
      <c r="G70" s="64">
        <v>40</v>
      </c>
      <c r="H70" s="64">
        <v>35</v>
      </c>
      <c r="I70" s="64">
        <v>50</v>
      </c>
    </row>
    <row r="71" spans="1:9" ht="18.75" x14ac:dyDescent="0.3">
      <c r="A71" s="65" t="s">
        <v>172</v>
      </c>
      <c r="B71" s="64">
        <v>226</v>
      </c>
      <c r="C71" s="64">
        <v>25</v>
      </c>
      <c r="D71" s="64">
        <v>15</v>
      </c>
      <c r="E71" s="64">
        <v>6</v>
      </c>
      <c r="F71" s="64">
        <v>40</v>
      </c>
      <c r="G71" s="64">
        <v>60</v>
      </c>
      <c r="H71" s="64">
        <v>40</v>
      </c>
      <c r="I71" s="64">
        <v>40</v>
      </c>
    </row>
    <row r="72" spans="1:9" ht="18.75" x14ac:dyDescent="0.3">
      <c r="A72" s="63" t="s">
        <v>173</v>
      </c>
      <c r="B72" s="64">
        <v>244</v>
      </c>
      <c r="C72" s="64">
        <v>25</v>
      </c>
      <c r="D72" s="64">
        <v>5</v>
      </c>
      <c r="E72" s="64">
        <v>19</v>
      </c>
      <c r="F72" s="64">
        <v>65</v>
      </c>
      <c r="G72" s="64">
        <v>45</v>
      </c>
      <c r="H72" s="64">
        <v>45</v>
      </c>
      <c r="I72" s="64">
        <v>40</v>
      </c>
    </row>
    <row r="73" spans="1:9" ht="19.5" thickBot="1" x14ac:dyDescent="0.35">
      <c r="A73" s="65" t="s">
        <v>174</v>
      </c>
      <c r="B73" s="66">
        <v>288</v>
      </c>
      <c r="C73" s="66">
        <v>25</v>
      </c>
      <c r="D73" s="66">
        <v>15</v>
      </c>
      <c r="E73" s="66">
        <v>18</v>
      </c>
      <c r="F73" s="66">
        <v>70</v>
      </c>
      <c r="G73" s="66">
        <v>55</v>
      </c>
      <c r="H73" s="66">
        <v>55</v>
      </c>
      <c r="I73" s="66">
        <v>50</v>
      </c>
    </row>
    <row r="74" spans="1:9" ht="18.75" x14ac:dyDescent="0.3">
      <c r="A74" s="67" t="s">
        <v>63</v>
      </c>
      <c r="B74" s="68">
        <f>AVERAGE(B2:B73)</f>
        <v>245.83018867924528</v>
      </c>
      <c r="C74" s="68">
        <f t="shared" ref="C74:I74" si="0">AVERAGE(C2:C73)</f>
        <v>24.591836734693878</v>
      </c>
      <c r="D74" s="68">
        <f t="shared" si="0"/>
        <v>12.9</v>
      </c>
      <c r="E74" s="68">
        <f t="shared" si="0"/>
        <v>20</v>
      </c>
      <c r="F74" s="68">
        <f t="shared" si="0"/>
        <v>54.24</v>
      </c>
      <c r="G74" s="68">
        <f t="shared" si="0"/>
        <v>49.803921568627452</v>
      </c>
      <c r="H74" s="68">
        <f t="shared" si="0"/>
        <v>46.764705882352942</v>
      </c>
      <c r="I74" s="69">
        <f t="shared" si="0"/>
        <v>45.686274509803923</v>
      </c>
    </row>
    <row r="75" spans="1:9" ht="19.5" thickBot="1" x14ac:dyDescent="0.35">
      <c r="A75" s="70" t="s">
        <v>88</v>
      </c>
      <c r="B75" s="71">
        <f>_xlfn.STDEV.P(B2:B73)</f>
        <v>59.530469715035018</v>
      </c>
      <c r="C75" s="71">
        <f t="shared" ref="C75:I75" si="1">_xlfn.STDEV.P(C2:C73)</f>
        <v>2.2215858221507396</v>
      </c>
      <c r="D75" s="71">
        <f t="shared" si="1"/>
        <v>4.2532340636273478</v>
      </c>
      <c r="E75" s="71">
        <f t="shared" si="1"/>
        <v>10.174477873581523</v>
      </c>
      <c r="F75" s="71">
        <f t="shared" si="1"/>
        <v>15.971925369222083</v>
      </c>
      <c r="G75" s="71">
        <f t="shared" si="1"/>
        <v>11.545340470600415</v>
      </c>
      <c r="H75" s="71">
        <f t="shared" si="1"/>
        <v>10.040287932934987</v>
      </c>
      <c r="I75" s="72">
        <f t="shared" si="1"/>
        <v>10.195135703024052</v>
      </c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3996-789D-43CA-B3F8-97405BA9923C}">
  <dimension ref="A1:N90"/>
  <sheetViews>
    <sheetView zoomScale="64" zoomScaleNormal="64" workbookViewId="0">
      <selection activeCell="B74" sqref="B74"/>
    </sheetView>
  </sheetViews>
  <sheetFormatPr defaultColWidth="8.85546875" defaultRowHeight="15" x14ac:dyDescent="0.25"/>
  <cols>
    <col min="1" max="1" width="20.28515625" customWidth="1"/>
    <col min="2" max="2" width="12.42578125" customWidth="1"/>
    <col min="3" max="3" width="11.85546875" customWidth="1"/>
    <col min="4" max="4" width="11.140625" customWidth="1"/>
    <col min="5" max="5" width="11.28515625" customWidth="1"/>
    <col min="9" max="9" width="13.85546875" customWidth="1"/>
    <col min="10" max="10" width="16.28515625" customWidth="1"/>
    <col min="11" max="11" width="10.140625" customWidth="1"/>
    <col min="12" max="12" width="9.28515625" customWidth="1"/>
  </cols>
  <sheetData>
    <row r="1" spans="1:12" ht="75" x14ac:dyDescent="0.25">
      <c r="A1" s="61" t="s">
        <v>102</v>
      </c>
      <c r="B1" s="62" t="s">
        <v>89</v>
      </c>
      <c r="C1" s="62" t="s">
        <v>90</v>
      </c>
      <c r="D1" s="62" t="s">
        <v>91</v>
      </c>
      <c r="E1" s="62" t="s">
        <v>92</v>
      </c>
    </row>
    <row r="2" spans="1:12" ht="18.75" x14ac:dyDescent="0.3">
      <c r="A2" s="65" t="s">
        <v>103</v>
      </c>
      <c r="B2" s="73">
        <v>10</v>
      </c>
      <c r="C2" s="73">
        <v>10</v>
      </c>
      <c r="D2" s="73">
        <v>10</v>
      </c>
      <c r="E2" s="73">
        <v>10</v>
      </c>
    </row>
    <row r="3" spans="1:12" ht="18.75" x14ac:dyDescent="0.3">
      <c r="A3" s="65" t="s">
        <v>104</v>
      </c>
      <c r="B3" s="73">
        <v>8</v>
      </c>
      <c r="C3" s="73">
        <v>8</v>
      </c>
      <c r="D3" s="73">
        <v>7</v>
      </c>
      <c r="E3" s="73">
        <v>10</v>
      </c>
    </row>
    <row r="4" spans="1:12" ht="18.75" x14ac:dyDescent="0.3">
      <c r="A4" s="65" t="s">
        <v>105</v>
      </c>
      <c r="B4" s="73">
        <v>14</v>
      </c>
      <c r="C4" s="73">
        <v>8</v>
      </c>
      <c r="D4" s="73">
        <v>9</v>
      </c>
      <c r="E4" s="73">
        <v>10</v>
      </c>
    </row>
    <row r="5" spans="1:12" ht="18.75" x14ac:dyDescent="0.3">
      <c r="A5" s="65" t="s">
        <v>106</v>
      </c>
      <c r="B5" s="73">
        <v>8</v>
      </c>
      <c r="C5" s="73">
        <v>7</v>
      </c>
      <c r="D5" s="73">
        <v>10</v>
      </c>
      <c r="E5" s="73">
        <v>10</v>
      </c>
    </row>
    <row r="6" spans="1:12" ht="19.5" thickBot="1" x14ac:dyDescent="0.35">
      <c r="A6" s="65" t="s">
        <v>107</v>
      </c>
      <c r="B6" s="73">
        <v>8</v>
      </c>
      <c r="C6" s="73">
        <v>7</v>
      </c>
      <c r="D6" s="73">
        <v>8</v>
      </c>
      <c r="E6" s="73">
        <v>10</v>
      </c>
    </row>
    <row r="7" spans="1:12" ht="18.75" x14ac:dyDescent="0.3">
      <c r="A7" s="65" t="s">
        <v>108</v>
      </c>
      <c r="B7" s="73">
        <v>8</v>
      </c>
      <c r="C7" s="73">
        <v>7</v>
      </c>
      <c r="D7" s="73">
        <v>10</v>
      </c>
      <c r="E7" s="73">
        <v>10</v>
      </c>
      <c r="I7" s="150" t="s">
        <v>62</v>
      </c>
      <c r="J7" s="151"/>
      <c r="K7" s="151"/>
      <c r="L7" s="152"/>
    </row>
    <row r="8" spans="1:12" ht="19.5" thickBot="1" x14ac:dyDescent="0.35">
      <c r="A8" s="65" t="s">
        <v>109</v>
      </c>
      <c r="B8" s="73">
        <v>6</v>
      </c>
      <c r="C8" s="73">
        <v>7</v>
      </c>
      <c r="D8" s="73">
        <v>8</v>
      </c>
      <c r="E8" s="73">
        <v>10</v>
      </c>
      <c r="I8" s="153"/>
      <c r="J8" s="154"/>
      <c r="K8" s="154"/>
      <c r="L8" s="155"/>
    </row>
    <row r="9" spans="1:12" ht="19.5" thickBot="1" x14ac:dyDescent="0.35">
      <c r="A9" s="65" t="s">
        <v>110</v>
      </c>
      <c r="B9" s="74">
        <v>7</v>
      </c>
      <c r="C9" s="74">
        <v>6</v>
      </c>
      <c r="D9" s="74">
        <v>9</v>
      </c>
      <c r="E9" s="74">
        <v>10</v>
      </c>
      <c r="I9" s="91"/>
      <c r="J9" s="92"/>
      <c r="K9" s="93" t="s">
        <v>63</v>
      </c>
      <c r="L9" s="94" t="s">
        <v>88</v>
      </c>
    </row>
    <row r="10" spans="1:12" ht="18.75" x14ac:dyDescent="0.3">
      <c r="A10" s="65" t="s">
        <v>111</v>
      </c>
      <c r="B10" s="73">
        <v>10</v>
      </c>
      <c r="C10" s="73">
        <v>6</v>
      </c>
      <c r="D10" s="73">
        <v>7</v>
      </c>
      <c r="E10" s="73">
        <v>10</v>
      </c>
      <c r="I10" s="156" t="s">
        <v>64</v>
      </c>
      <c r="J10" s="95" t="s">
        <v>97</v>
      </c>
      <c r="K10" s="96">
        <f>AVERAGE(B2:B73)</f>
        <v>7.9142857142857146</v>
      </c>
      <c r="L10" s="97">
        <f>_xlfn.STDEV.P(B2:B73)</f>
        <v>2.7031349902493225</v>
      </c>
    </row>
    <row r="11" spans="1:12" ht="18.75" x14ac:dyDescent="0.3">
      <c r="A11" s="65" t="s">
        <v>112</v>
      </c>
      <c r="B11" s="73">
        <v>10</v>
      </c>
      <c r="C11" s="73">
        <v>6</v>
      </c>
      <c r="D11" s="73">
        <v>7</v>
      </c>
      <c r="E11" s="73">
        <v>10</v>
      </c>
      <c r="I11" s="157"/>
      <c r="J11" s="98" t="s">
        <v>98</v>
      </c>
      <c r="K11" s="99">
        <f>AVERAGE(C2:C73)</f>
        <v>5.371428571428571</v>
      </c>
      <c r="L11" s="100">
        <f>_xlfn.STDEV.P(C2:C73)</f>
        <v>1.8061120719176125</v>
      </c>
    </row>
    <row r="12" spans="1:12" ht="18.75" x14ac:dyDescent="0.3">
      <c r="A12" s="65" t="s">
        <v>113</v>
      </c>
      <c r="B12" s="73">
        <v>12</v>
      </c>
      <c r="C12" s="73">
        <v>6</v>
      </c>
      <c r="D12" s="73">
        <v>7</v>
      </c>
      <c r="E12" s="73">
        <v>10</v>
      </c>
      <c r="I12" s="148" t="s">
        <v>65</v>
      </c>
      <c r="J12" s="98" t="s">
        <v>97</v>
      </c>
      <c r="K12" s="99">
        <f>AVERAGE(D2:D73)</f>
        <v>7.5428571428571427</v>
      </c>
      <c r="L12" s="100">
        <f>_xlfn.STDEV.P(D2:D73)</f>
        <v>1.5277033583194115</v>
      </c>
    </row>
    <row r="13" spans="1:12" ht="19.5" thickBot="1" x14ac:dyDescent="0.35">
      <c r="A13" s="65" t="s">
        <v>114</v>
      </c>
      <c r="B13" s="73">
        <v>12</v>
      </c>
      <c r="C13" s="73">
        <v>6</v>
      </c>
      <c r="D13" s="73">
        <v>7</v>
      </c>
      <c r="E13" s="73">
        <v>10</v>
      </c>
      <c r="I13" s="149"/>
      <c r="J13" s="101" t="s">
        <v>98</v>
      </c>
      <c r="K13" s="102">
        <f>AVERAGE(E2:E73)</f>
        <v>8.9142857142857146</v>
      </c>
      <c r="L13" s="103">
        <f>_xlfn.STDEV.P(E2:E73)</f>
        <v>1.4416543784620417</v>
      </c>
    </row>
    <row r="14" spans="1:12" ht="18.75" x14ac:dyDescent="0.3">
      <c r="A14" s="65" t="s">
        <v>115</v>
      </c>
      <c r="B14" s="73">
        <v>14</v>
      </c>
      <c r="C14" s="73">
        <v>5</v>
      </c>
      <c r="D14" s="73">
        <v>8</v>
      </c>
      <c r="E14" s="73">
        <v>10</v>
      </c>
      <c r="I14" s="104"/>
      <c r="J14" s="104"/>
      <c r="K14" s="104"/>
      <c r="L14" s="104"/>
    </row>
    <row r="15" spans="1:12" ht="18.75" x14ac:dyDescent="0.3">
      <c r="A15" s="65" t="s">
        <v>116</v>
      </c>
      <c r="B15" s="73">
        <v>15</v>
      </c>
      <c r="C15" s="73">
        <v>5</v>
      </c>
      <c r="D15" s="73">
        <v>9</v>
      </c>
      <c r="E15" s="73">
        <v>10</v>
      </c>
      <c r="I15" s="104"/>
      <c r="J15" s="104"/>
      <c r="K15" s="104"/>
      <c r="L15" s="104"/>
    </row>
    <row r="16" spans="1:12" ht="19.5" thickBot="1" x14ac:dyDescent="0.35">
      <c r="A16" s="65" t="s">
        <v>117</v>
      </c>
      <c r="B16" s="73">
        <v>10</v>
      </c>
      <c r="C16" s="73">
        <v>5</v>
      </c>
      <c r="D16" s="73">
        <v>9</v>
      </c>
      <c r="E16" s="73">
        <v>10</v>
      </c>
      <c r="I16" s="104"/>
      <c r="J16" s="104"/>
      <c r="K16" s="104"/>
      <c r="L16" s="104"/>
    </row>
    <row r="17" spans="1:12" ht="18.75" x14ac:dyDescent="0.3">
      <c r="A17" s="65" t="s">
        <v>118</v>
      </c>
      <c r="B17" s="73">
        <v>10</v>
      </c>
      <c r="C17" s="73">
        <v>5</v>
      </c>
      <c r="D17" s="73">
        <v>9</v>
      </c>
      <c r="E17" s="73">
        <v>10</v>
      </c>
      <c r="I17" s="150" t="s">
        <v>66</v>
      </c>
      <c r="J17" s="151"/>
      <c r="K17" s="151"/>
      <c r="L17" s="152"/>
    </row>
    <row r="18" spans="1:12" ht="19.5" thickBot="1" x14ac:dyDescent="0.35">
      <c r="A18" s="65" t="s">
        <v>119</v>
      </c>
      <c r="B18" s="73">
        <v>5</v>
      </c>
      <c r="C18" s="73">
        <v>5</v>
      </c>
      <c r="D18" s="73">
        <v>7</v>
      </c>
      <c r="E18" s="73">
        <v>10</v>
      </c>
      <c r="I18" s="153"/>
      <c r="J18" s="154"/>
      <c r="K18" s="154"/>
      <c r="L18" s="155"/>
    </row>
    <row r="19" spans="1:12" ht="19.5" thickBot="1" x14ac:dyDescent="0.35">
      <c r="A19" s="65" t="s">
        <v>120</v>
      </c>
      <c r="B19" s="73">
        <v>10</v>
      </c>
      <c r="C19" s="73">
        <v>5</v>
      </c>
      <c r="D19" s="73">
        <v>8</v>
      </c>
      <c r="E19" s="73">
        <v>10</v>
      </c>
      <c r="I19" s="105"/>
      <c r="J19" s="106"/>
      <c r="K19" s="107" t="s">
        <v>63</v>
      </c>
      <c r="L19" s="108" t="s">
        <v>88</v>
      </c>
    </row>
    <row r="20" spans="1:12" ht="18.75" x14ac:dyDescent="0.3">
      <c r="A20" s="65" t="s">
        <v>121</v>
      </c>
      <c r="B20" s="73">
        <v>8</v>
      </c>
      <c r="C20" s="73">
        <v>5</v>
      </c>
      <c r="D20" s="73">
        <v>7</v>
      </c>
      <c r="E20" s="73">
        <v>10</v>
      </c>
      <c r="I20" s="156" t="s">
        <v>64</v>
      </c>
      <c r="J20" s="109" t="s">
        <v>97</v>
      </c>
      <c r="K20" s="110">
        <f>AVERAGE(B77:B88)</f>
        <v>8.8333333333333339</v>
      </c>
      <c r="L20" s="111">
        <f>_xlfn.STDEV.P(B77:B88)</f>
        <v>2.3746344747958346</v>
      </c>
    </row>
    <row r="21" spans="1:12" ht="18.75" x14ac:dyDescent="0.3">
      <c r="A21" s="65" t="s">
        <v>122</v>
      </c>
      <c r="B21" s="73">
        <v>12</v>
      </c>
      <c r="C21" s="73">
        <v>5</v>
      </c>
      <c r="D21" s="73">
        <v>10</v>
      </c>
      <c r="E21" s="73">
        <v>10</v>
      </c>
      <c r="I21" s="157"/>
      <c r="J21" s="112" t="s">
        <v>98</v>
      </c>
      <c r="K21" s="113">
        <f>AVERAGE(C77:C88)</f>
        <v>7.666666666666667</v>
      </c>
      <c r="L21" s="114">
        <f>_xlfn.STDEV.P(C77:C88)</f>
        <v>1.4907119849998598</v>
      </c>
    </row>
    <row r="22" spans="1:12" ht="18.75" x14ac:dyDescent="0.3">
      <c r="A22" s="65" t="s">
        <v>123</v>
      </c>
      <c r="B22" s="73">
        <v>7</v>
      </c>
      <c r="C22" s="73">
        <v>5</v>
      </c>
      <c r="D22" s="73">
        <v>10</v>
      </c>
      <c r="E22" s="73">
        <v>10</v>
      </c>
      <c r="I22" s="148" t="s">
        <v>65</v>
      </c>
      <c r="J22" s="112" t="s">
        <v>97</v>
      </c>
      <c r="K22" s="113">
        <f>AVERAGE(D77:D88)</f>
        <v>7.083333333333333</v>
      </c>
      <c r="L22" s="114">
        <f>_xlfn.STDEV.P(D77:D88)</f>
        <v>1.2555432644432802</v>
      </c>
    </row>
    <row r="23" spans="1:12" ht="19.5" thickBot="1" x14ac:dyDescent="0.35">
      <c r="A23" s="65" t="s">
        <v>124</v>
      </c>
      <c r="B23" s="73">
        <v>7</v>
      </c>
      <c r="C23" s="73">
        <v>5</v>
      </c>
      <c r="D23" s="73">
        <v>6</v>
      </c>
      <c r="E23" s="73">
        <v>10</v>
      </c>
      <c r="I23" s="149"/>
      <c r="J23" s="115" t="s">
        <v>98</v>
      </c>
      <c r="K23" s="116">
        <f>AVERAGE(E77:E88)</f>
        <v>7.416666666666667</v>
      </c>
      <c r="L23" s="117">
        <f>_xlfn.STDEV.P(E77:E88)</f>
        <v>1.3202482931462383</v>
      </c>
    </row>
    <row r="24" spans="1:12" ht="18.75" x14ac:dyDescent="0.3">
      <c r="A24" s="65" t="s">
        <v>125</v>
      </c>
      <c r="B24" s="73">
        <v>8</v>
      </c>
      <c r="C24" s="73">
        <v>4</v>
      </c>
      <c r="D24" s="73">
        <v>9</v>
      </c>
      <c r="E24" s="73">
        <v>10</v>
      </c>
      <c r="I24" s="104"/>
      <c r="J24" s="104"/>
      <c r="K24" s="104"/>
      <c r="L24" s="104"/>
    </row>
    <row r="25" spans="1:12" ht="18.75" x14ac:dyDescent="0.3">
      <c r="A25" s="65" t="s">
        <v>126</v>
      </c>
      <c r="B25" s="73">
        <v>10</v>
      </c>
      <c r="C25" s="73">
        <v>4</v>
      </c>
      <c r="D25" s="73">
        <v>9</v>
      </c>
      <c r="E25" s="73">
        <v>10</v>
      </c>
    </row>
    <row r="26" spans="1:12" ht="18.75" x14ac:dyDescent="0.3">
      <c r="A26" s="65" t="s">
        <v>127</v>
      </c>
      <c r="B26" s="73">
        <v>5</v>
      </c>
      <c r="C26" s="73">
        <v>4</v>
      </c>
      <c r="D26" s="73">
        <v>8</v>
      </c>
      <c r="E26" s="73">
        <v>10</v>
      </c>
    </row>
    <row r="27" spans="1:12" ht="18.75" x14ac:dyDescent="0.3">
      <c r="A27" s="65" t="s">
        <v>128</v>
      </c>
      <c r="B27" s="73">
        <v>6</v>
      </c>
      <c r="C27" s="73">
        <v>4</v>
      </c>
      <c r="D27" s="73">
        <v>7</v>
      </c>
      <c r="E27" s="73">
        <v>10</v>
      </c>
    </row>
    <row r="28" spans="1:12" ht="18.75" x14ac:dyDescent="0.3">
      <c r="A28" s="65" t="s">
        <v>129</v>
      </c>
      <c r="B28" s="73">
        <v>5</v>
      </c>
      <c r="C28" s="73">
        <v>3</v>
      </c>
      <c r="D28" s="73">
        <v>8</v>
      </c>
      <c r="E28" s="73">
        <v>10</v>
      </c>
    </row>
    <row r="29" spans="1:12" ht="18.75" x14ac:dyDescent="0.3">
      <c r="A29" s="65" t="s">
        <v>130</v>
      </c>
      <c r="B29" s="73">
        <v>5</v>
      </c>
      <c r="C29" s="73">
        <v>3</v>
      </c>
      <c r="D29" s="73">
        <v>9</v>
      </c>
      <c r="E29" s="73">
        <v>10</v>
      </c>
    </row>
    <row r="30" spans="1:12" ht="18.75" x14ac:dyDescent="0.3">
      <c r="A30" s="65" t="s">
        <v>131</v>
      </c>
      <c r="B30" s="73">
        <v>6</v>
      </c>
      <c r="C30" s="73">
        <v>3</v>
      </c>
      <c r="D30" s="73">
        <v>9</v>
      </c>
      <c r="E30" s="73">
        <v>10</v>
      </c>
    </row>
    <row r="31" spans="1:12" ht="18.75" x14ac:dyDescent="0.3">
      <c r="A31" s="65" t="s">
        <v>132</v>
      </c>
      <c r="B31" s="73">
        <v>5</v>
      </c>
      <c r="C31" s="73">
        <v>3</v>
      </c>
      <c r="D31" s="73">
        <v>8</v>
      </c>
      <c r="E31" s="73">
        <v>10</v>
      </c>
    </row>
    <row r="32" spans="1:12" ht="18.75" x14ac:dyDescent="0.3">
      <c r="A32" s="65" t="s">
        <v>133</v>
      </c>
      <c r="B32" s="73">
        <v>4</v>
      </c>
      <c r="C32" s="73">
        <v>3</v>
      </c>
      <c r="D32" s="73">
        <v>9</v>
      </c>
      <c r="E32" s="73">
        <v>10</v>
      </c>
    </row>
    <row r="33" spans="1:14" ht="18.75" x14ac:dyDescent="0.3">
      <c r="A33" s="65" t="s">
        <v>134</v>
      </c>
      <c r="B33" s="73">
        <v>7</v>
      </c>
      <c r="C33" s="73">
        <v>2</v>
      </c>
      <c r="D33" s="73">
        <v>9</v>
      </c>
      <c r="E33" s="73">
        <v>10</v>
      </c>
    </row>
    <row r="34" spans="1:14" ht="18.75" x14ac:dyDescent="0.3">
      <c r="A34" s="65" t="s">
        <v>135</v>
      </c>
      <c r="B34" s="73">
        <v>5</v>
      </c>
      <c r="C34" s="73">
        <v>2</v>
      </c>
      <c r="D34" s="73">
        <v>8</v>
      </c>
      <c r="E34" s="73">
        <v>10</v>
      </c>
    </row>
    <row r="35" spans="1:14" ht="18.75" x14ac:dyDescent="0.3">
      <c r="A35" s="65" t="s">
        <v>136</v>
      </c>
      <c r="B35" s="73">
        <v>8</v>
      </c>
      <c r="C35" s="73">
        <v>10</v>
      </c>
      <c r="D35" s="73">
        <v>8</v>
      </c>
      <c r="E35" s="73">
        <v>9</v>
      </c>
    </row>
    <row r="36" spans="1:14" ht="18.75" x14ac:dyDescent="0.3">
      <c r="A36" s="65" t="s">
        <v>137</v>
      </c>
      <c r="B36" s="73">
        <v>12</v>
      </c>
      <c r="C36" s="73">
        <v>10</v>
      </c>
      <c r="D36" s="73">
        <v>9</v>
      </c>
      <c r="E36" s="73">
        <v>9</v>
      </c>
    </row>
    <row r="37" spans="1:14" ht="18.75" x14ac:dyDescent="0.3">
      <c r="A37" s="65" t="s">
        <v>138</v>
      </c>
      <c r="B37" s="73">
        <v>10</v>
      </c>
      <c r="C37" s="73">
        <v>8</v>
      </c>
      <c r="D37" s="73">
        <v>5</v>
      </c>
      <c r="E37" s="73">
        <v>9</v>
      </c>
    </row>
    <row r="38" spans="1:14" ht="18.75" x14ac:dyDescent="0.3">
      <c r="A38" s="65" t="s">
        <v>139</v>
      </c>
      <c r="B38" s="73">
        <v>10</v>
      </c>
      <c r="C38" s="73">
        <v>7</v>
      </c>
      <c r="D38" s="73">
        <v>7</v>
      </c>
      <c r="E38" s="73">
        <v>9</v>
      </c>
    </row>
    <row r="39" spans="1:14" ht="18.75" x14ac:dyDescent="0.3">
      <c r="A39" s="65" t="s">
        <v>140</v>
      </c>
      <c r="B39" s="73">
        <v>6</v>
      </c>
      <c r="C39" s="73">
        <v>7</v>
      </c>
      <c r="D39" s="73">
        <v>9</v>
      </c>
      <c r="E39" s="73">
        <v>9</v>
      </c>
    </row>
    <row r="40" spans="1:14" ht="18.75" x14ac:dyDescent="0.3">
      <c r="A40" s="65" t="s">
        <v>141</v>
      </c>
      <c r="B40" s="73">
        <v>8</v>
      </c>
      <c r="C40" s="73">
        <v>6</v>
      </c>
      <c r="D40" s="73">
        <v>8</v>
      </c>
      <c r="E40" s="73">
        <v>9</v>
      </c>
    </row>
    <row r="41" spans="1:14" ht="18.75" x14ac:dyDescent="0.3">
      <c r="A41" s="65" t="s">
        <v>142</v>
      </c>
      <c r="B41" s="73">
        <v>9</v>
      </c>
      <c r="C41" s="73">
        <v>6</v>
      </c>
      <c r="D41" s="73">
        <v>7</v>
      </c>
      <c r="E41" s="73">
        <v>9</v>
      </c>
      <c r="N41" t="s">
        <v>0</v>
      </c>
    </row>
    <row r="42" spans="1:14" ht="18.75" x14ac:dyDescent="0.3">
      <c r="A42" s="65" t="s">
        <v>143</v>
      </c>
      <c r="B42" s="73">
        <v>6</v>
      </c>
      <c r="C42" s="73">
        <v>6</v>
      </c>
      <c r="D42" s="73">
        <v>7</v>
      </c>
      <c r="E42" s="73">
        <v>9</v>
      </c>
    </row>
    <row r="43" spans="1:14" ht="18.75" x14ac:dyDescent="0.3">
      <c r="A43" s="65" t="s">
        <v>144</v>
      </c>
      <c r="B43" s="73">
        <v>9</v>
      </c>
      <c r="C43" s="73">
        <v>6</v>
      </c>
      <c r="D43" s="73">
        <v>6</v>
      </c>
      <c r="E43" s="73">
        <v>9</v>
      </c>
    </row>
    <row r="44" spans="1:14" ht="18.75" x14ac:dyDescent="0.3">
      <c r="A44" s="65" t="s">
        <v>145</v>
      </c>
      <c r="B44" s="73">
        <v>6</v>
      </c>
      <c r="C44" s="73">
        <v>6</v>
      </c>
      <c r="D44" s="73">
        <v>7</v>
      </c>
      <c r="E44" s="73">
        <v>9</v>
      </c>
    </row>
    <row r="45" spans="1:14" ht="18.75" x14ac:dyDescent="0.3">
      <c r="A45" s="65" t="s">
        <v>146</v>
      </c>
      <c r="B45" s="73">
        <v>15</v>
      </c>
      <c r="C45" s="73">
        <v>5</v>
      </c>
      <c r="D45" s="73">
        <v>7</v>
      </c>
      <c r="E45" s="73">
        <v>9</v>
      </c>
    </row>
    <row r="46" spans="1:14" ht="18.75" x14ac:dyDescent="0.3">
      <c r="A46" s="65" t="s">
        <v>147</v>
      </c>
      <c r="B46" s="73">
        <v>8</v>
      </c>
      <c r="C46" s="73">
        <v>5</v>
      </c>
      <c r="D46" s="73">
        <v>8</v>
      </c>
      <c r="E46" s="73">
        <v>9</v>
      </c>
    </row>
    <row r="47" spans="1:14" ht="18.75" x14ac:dyDescent="0.3">
      <c r="A47" s="65" t="s">
        <v>148</v>
      </c>
      <c r="B47" s="73">
        <v>5</v>
      </c>
      <c r="C47" s="73">
        <v>5</v>
      </c>
      <c r="D47" s="73">
        <v>7</v>
      </c>
      <c r="E47" s="73">
        <v>9</v>
      </c>
    </row>
    <row r="48" spans="1:14" ht="18.75" x14ac:dyDescent="0.3">
      <c r="A48" s="65" t="s">
        <v>149</v>
      </c>
      <c r="B48" s="73">
        <v>5</v>
      </c>
      <c r="C48" s="73">
        <v>4</v>
      </c>
      <c r="D48" s="73">
        <v>7</v>
      </c>
      <c r="E48" s="73">
        <v>9</v>
      </c>
    </row>
    <row r="49" spans="1:5" ht="18.75" x14ac:dyDescent="0.3">
      <c r="A49" s="65" t="s">
        <v>150</v>
      </c>
      <c r="B49" s="73">
        <v>10</v>
      </c>
      <c r="C49" s="73">
        <v>4</v>
      </c>
      <c r="D49" s="73">
        <v>10</v>
      </c>
      <c r="E49" s="73">
        <v>9</v>
      </c>
    </row>
    <row r="50" spans="1:5" ht="18.75" x14ac:dyDescent="0.3">
      <c r="A50" s="65" t="s">
        <v>151</v>
      </c>
      <c r="B50" s="73">
        <v>4</v>
      </c>
      <c r="C50" s="73">
        <v>3</v>
      </c>
      <c r="D50" s="73">
        <v>9</v>
      </c>
      <c r="E50" s="73">
        <v>9</v>
      </c>
    </row>
    <row r="51" spans="1:5" ht="18.75" x14ac:dyDescent="0.3">
      <c r="A51" s="65" t="s">
        <v>152</v>
      </c>
      <c r="B51" s="73">
        <v>10</v>
      </c>
      <c r="C51" s="73">
        <v>7</v>
      </c>
      <c r="D51" s="73">
        <v>8</v>
      </c>
      <c r="E51" s="73">
        <v>9</v>
      </c>
    </row>
    <row r="52" spans="1:5" ht="18.75" x14ac:dyDescent="0.3">
      <c r="A52" s="65" t="s">
        <v>153</v>
      </c>
      <c r="B52" s="73">
        <v>8</v>
      </c>
      <c r="C52" s="73">
        <v>7</v>
      </c>
      <c r="D52" s="73">
        <v>7</v>
      </c>
      <c r="E52" s="73">
        <v>8</v>
      </c>
    </row>
    <row r="53" spans="1:5" ht="18.75" x14ac:dyDescent="0.3">
      <c r="A53" s="65" t="s">
        <v>154</v>
      </c>
      <c r="B53" s="73">
        <v>9</v>
      </c>
      <c r="C53" s="73">
        <v>5</v>
      </c>
      <c r="D53" s="73">
        <v>7</v>
      </c>
      <c r="E53" s="73">
        <v>8</v>
      </c>
    </row>
    <row r="54" spans="1:5" ht="18.75" x14ac:dyDescent="0.3">
      <c r="A54" s="65" t="s">
        <v>155</v>
      </c>
      <c r="B54" s="73">
        <v>10</v>
      </c>
      <c r="C54" s="73">
        <v>5</v>
      </c>
      <c r="D54" s="73">
        <v>6</v>
      </c>
      <c r="E54" s="73">
        <v>8</v>
      </c>
    </row>
    <row r="55" spans="1:5" ht="18.75" x14ac:dyDescent="0.3">
      <c r="A55" s="65" t="s">
        <v>156</v>
      </c>
      <c r="B55" s="73">
        <v>5</v>
      </c>
      <c r="C55" s="73">
        <v>5</v>
      </c>
      <c r="D55" s="73">
        <v>6</v>
      </c>
      <c r="E55" s="73">
        <v>8</v>
      </c>
    </row>
    <row r="56" spans="1:5" ht="18.75" x14ac:dyDescent="0.3">
      <c r="A56" s="65" t="s">
        <v>157</v>
      </c>
      <c r="B56" s="73">
        <v>7</v>
      </c>
      <c r="C56" s="73">
        <v>5</v>
      </c>
      <c r="D56" s="73">
        <v>6</v>
      </c>
      <c r="E56" s="73">
        <v>8</v>
      </c>
    </row>
    <row r="57" spans="1:5" ht="18.75" x14ac:dyDescent="0.3">
      <c r="A57" s="65" t="s">
        <v>158</v>
      </c>
      <c r="B57" s="73">
        <v>8</v>
      </c>
      <c r="C57" s="73">
        <v>5</v>
      </c>
      <c r="D57" s="73">
        <v>6</v>
      </c>
      <c r="E57" s="73">
        <v>8</v>
      </c>
    </row>
    <row r="58" spans="1:5" ht="18.75" x14ac:dyDescent="0.3">
      <c r="A58" s="65" t="s">
        <v>159</v>
      </c>
      <c r="B58" s="73">
        <v>6</v>
      </c>
      <c r="C58" s="73">
        <v>5</v>
      </c>
      <c r="D58" s="73">
        <v>8</v>
      </c>
      <c r="E58" s="73">
        <v>8</v>
      </c>
    </row>
    <row r="59" spans="1:5" ht="18.75" x14ac:dyDescent="0.3">
      <c r="A59" s="65" t="s">
        <v>160</v>
      </c>
      <c r="B59" s="73">
        <v>6</v>
      </c>
      <c r="C59" s="73">
        <v>4</v>
      </c>
      <c r="D59" s="73">
        <v>9</v>
      </c>
      <c r="E59" s="73">
        <v>8</v>
      </c>
    </row>
    <row r="60" spans="1:5" ht="18.75" x14ac:dyDescent="0.3">
      <c r="A60" s="65" t="s">
        <v>161</v>
      </c>
      <c r="B60" s="73">
        <v>5</v>
      </c>
      <c r="C60" s="73">
        <v>4</v>
      </c>
      <c r="D60" s="73">
        <v>8</v>
      </c>
      <c r="E60" s="73">
        <v>8</v>
      </c>
    </row>
    <row r="61" spans="1:5" ht="18.75" x14ac:dyDescent="0.3">
      <c r="A61" s="65" t="s">
        <v>162</v>
      </c>
      <c r="B61" s="73">
        <v>4</v>
      </c>
      <c r="C61" s="73">
        <v>3</v>
      </c>
      <c r="D61" s="73">
        <v>7</v>
      </c>
      <c r="E61" s="73">
        <v>8</v>
      </c>
    </row>
    <row r="62" spans="1:5" ht="18.75" x14ac:dyDescent="0.3">
      <c r="A62" s="65" t="s">
        <v>163</v>
      </c>
      <c r="B62" s="73">
        <v>10</v>
      </c>
      <c r="C62" s="73">
        <v>8</v>
      </c>
      <c r="D62" s="73">
        <v>7</v>
      </c>
      <c r="E62" s="73">
        <v>7</v>
      </c>
    </row>
    <row r="63" spans="1:5" ht="18.75" x14ac:dyDescent="0.3">
      <c r="A63" s="65" t="s">
        <v>164</v>
      </c>
      <c r="B63" s="73">
        <v>8</v>
      </c>
      <c r="C63" s="73">
        <v>8</v>
      </c>
      <c r="D63" s="73">
        <v>7</v>
      </c>
      <c r="E63" s="73">
        <v>7</v>
      </c>
    </row>
    <row r="64" spans="1:5" ht="18.75" x14ac:dyDescent="0.3">
      <c r="A64" s="65" t="s">
        <v>165</v>
      </c>
      <c r="B64" s="73">
        <v>10</v>
      </c>
      <c r="C64" s="73">
        <v>6</v>
      </c>
      <c r="D64" s="73">
        <v>4</v>
      </c>
      <c r="E64" s="73">
        <v>7</v>
      </c>
    </row>
    <row r="65" spans="1:13" ht="18.75" x14ac:dyDescent="0.3">
      <c r="A65" s="65" t="s">
        <v>166</v>
      </c>
      <c r="B65" s="73">
        <v>5</v>
      </c>
      <c r="C65" s="73">
        <v>4</v>
      </c>
      <c r="D65" s="73">
        <v>4</v>
      </c>
      <c r="E65" s="73">
        <v>7</v>
      </c>
    </row>
    <row r="66" spans="1:13" ht="18.75" x14ac:dyDescent="0.3">
      <c r="A66" s="65" t="s">
        <v>167</v>
      </c>
      <c r="B66" s="73">
        <v>6</v>
      </c>
      <c r="C66" s="73">
        <v>4</v>
      </c>
      <c r="D66" s="73">
        <v>4</v>
      </c>
      <c r="E66" s="73">
        <v>7</v>
      </c>
    </row>
    <row r="67" spans="1:13" ht="18.75" x14ac:dyDescent="0.3">
      <c r="A67" s="65" t="s">
        <v>168</v>
      </c>
      <c r="B67" s="73">
        <v>5</v>
      </c>
      <c r="C67" s="73">
        <v>2</v>
      </c>
      <c r="D67" s="73">
        <v>5</v>
      </c>
      <c r="E67" s="73">
        <v>7</v>
      </c>
    </row>
    <row r="68" spans="1:13" ht="18.75" x14ac:dyDescent="0.3">
      <c r="A68" s="65" t="s">
        <v>169</v>
      </c>
      <c r="B68" s="73">
        <v>8</v>
      </c>
      <c r="C68" s="73">
        <v>8</v>
      </c>
      <c r="D68" s="73">
        <v>5</v>
      </c>
      <c r="E68" s="73">
        <v>6</v>
      </c>
    </row>
    <row r="69" spans="1:13" ht="18.75" x14ac:dyDescent="0.3">
      <c r="A69" s="65" t="s">
        <v>170</v>
      </c>
      <c r="B69" s="73">
        <v>5</v>
      </c>
      <c r="C69" s="73">
        <v>4</v>
      </c>
      <c r="D69" s="73">
        <v>8</v>
      </c>
      <c r="E69" s="73">
        <v>6</v>
      </c>
    </row>
    <row r="70" spans="1:13" ht="18.75" x14ac:dyDescent="0.3">
      <c r="A70" s="65" t="s">
        <v>171</v>
      </c>
      <c r="B70" s="73">
        <v>5</v>
      </c>
      <c r="C70" s="73">
        <v>5</v>
      </c>
      <c r="D70" s="73">
        <v>6</v>
      </c>
      <c r="E70" s="73">
        <v>4</v>
      </c>
    </row>
    <row r="71" spans="1:13" ht="18.75" x14ac:dyDescent="0.3">
      <c r="A71" s="65" t="s">
        <v>172</v>
      </c>
      <c r="B71" s="73">
        <v>6</v>
      </c>
      <c r="C71" s="73">
        <v>5</v>
      </c>
      <c r="D71" s="73">
        <v>4</v>
      </c>
      <c r="E71" s="73">
        <v>3</v>
      </c>
    </row>
    <row r="72" spans="1:13" ht="18.75" x14ac:dyDescent="0.3">
      <c r="A72" s="65" t="s">
        <v>173</v>
      </c>
      <c r="B72" s="73"/>
      <c r="C72" s="73"/>
      <c r="D72" s="73"/>
      <c r="E72" s="73"/>
    </row>
    <row r="73" spans="1:13" ht="19.5" thickBot="1" x14ac:dyDescent="0.35">
      <c r="A73" s="65" t="s">
        <v>174</v>
      </c>
      <c r="B73" s="73"/>
      <c r="C73" s="73"/>
      <c r="D73" s="73"/>
      <c r="E73" s="73"/>
    </row>
    <row r="74" spans="1:13" ht="18.75" x14ac:dyDescent="0.3">
      <c r="A74" s="75" t="s">
        <v>63</v>
      </c>
      <c r="B74" s="76">
        <f>AVERAGE(B2:B73)</f>
        <v>7.9142857142857146</v>
      </c>
      <c r="C74" s="76">
        <f t="shared" ref="C74:E74" si="0">AVERAGE(C2:C73)</f>
        <v>5.371428571428571</v>
      </c>
      <c r="D74" s="76">
        <f t="shared" si="0"/>
        <v>7.5428571428571427</v>
      </c>
      <c r="E74" s="77">
        <f t="shared" si="0"/>
        <v>8.9142857142857146</v>
      </c>
    </row>
    <row r="75" spans="1:13" ht="19.5" thickBot="1" x14ac:dyDescent="0.35">
      <c r="A75" s="78" t="s">
        <v>88</v>
      </c>
      <c r="B75" s="79">
        <f>_xlfn.STDEV.P(B2:B73)</f>
        <v>2.7031349902493225</v>
      </c>
      <c r="C75" s="79">
        <f>_xlfn.STDEV.P(C2:C73)</f>
        <v>1.8061120719176125</v>
      </c>
      <c r="D75" s="79">
        <f>_xlfn.STDEV.P(D2:D73)</f>
        <v>1.5277033583194115</v>
      </c>
      <c r="E75" s="80">
        <f>_xlfn.STDEV.P(E2:E73)</f>
        <v>1.4416543784620417</v>
      </c>
    </row>
    <row r="76" spans="1:13" ht="18.75" x14ac:dyDescent="0.3">
      <c r="A76" s="147" t="s">
        <v>100</v>
      </c>
      <c r="B76" s="147"/>
      <c r="C76" s="147"/>
      <c r="D76" s="147"/>
      <c r="E76" s="147"/>
    </row>
    <row r="77" spans="1:13" ht="18.75" x14ac:dyDescent="0.3">
      <c r="A77" s="81" t="s">
        <v>175</v>
      </c>
      <c r="B77" s="29">
        <v>10</v>
      </c>
      <c r="C77" s="29">
        <v>8</v>
      </c>
      <c r="D77" s="29">
        <v>9</v>
      </c>
      <c r="E77" s="29">
        <v>10</v>
      </c>
      <c r="F77" s="4" t="s">
        <v>0</v>
      </c>
      <c r="G77" s="4"/>
      <c r="H77" s="4"/>
      <c r="I77" s="4"/>
      <c r="J77" s="4"/>
      <c r="K77" s="4"/>
      <c r="L77" s="4"/>
      <c r="M77" s="4"/>
    </row>
    <row r="78" spans="1:13" ht="18.75" x14ac:dyDescent="0.3">
      <c r="A78" s="82" t="s">
        <v>176</v>
      </c>
      <c r="B78" s="26">
        <v>8</v>
      </c>
      <c r="C78" s="26">
        <v>7</v>
      </c>
      <c r="D78" s="26">
        <v>8</v>
      </c>
      <c r="E78" s="26">
        <v>9</v>
      </c>
      <c r="F78" s="4"/>
      <c r="G78" s="4"/>
      <c r="H78" s="4"/>
      <c r="I78" s="4"/>
      <c r="J78" s="4"/>
      <c r="K78" s="4"/>
      <c r="L78" s="4"/>
      <c r="M78" s="4"/>
    </row>
    <row r="79" spans="1:13" ht="18.75" x14ac:dyDescent="0.3">
      <c r="A79" s="81" t="s">
        <v>177</v>
      </c>
      <c r="B79" s="26">
        <v>7</v>
      </c>
      <c r="C79" s="26">
        <v>7</v>
      </c>
      <c r="D79" s="26">
        <v>6</v>
      </c>
      <c r="E79" s="26">
        <v>9</v>
      </c>
      <c r="F79" s="4"/>
      <c r="G79" s="4"/>
      <c r="H79" s="4"/>
      <c r="I79" s="4"/>
      <c r="J79" s="4"/>
      <c r="K79" s="4"/>
      <c r="L79" s="4"/>
      <c r="M79" s="4"/>
    </row>
    <row r="80" spans="1:13" ht="18.75" x14ac:dyDescent="0.3">
      <c r="A80" s="82" t="s">
        <v>178</v>
      </c>
      <c r="B80" s="26">
        <v>12</v>
      </c>
      <c r="C80" s="26">
        <v>9</v>
      </c>
      <c r="D80" s="26">
        <v>7</v>
      </c>
      <c r="E80" s="26">
        <v>8</v>
      </c>
      <c r="F80" s="4"/>
      <c r="G80" s="4"/>
      <c r="H80" s="4"/>
      <c r="I80" s="4"/>
      <c r="J80" s="4"/>
      <c r="K80" s="4"/>
      <c r="L80" s="4"/>
      <c r="M80" s="4"/>
    </row>
    <row r="81" spans="1:13" ht="18.75" x14ac:dyDescent="0.3">
      <c r="A81" s="81" t="s">
        <v>179</v>
      </c>
      <c r="B81" s="26">
        <v>7</v>
      </c>
      <c r="C81" s="26">
        <v>5</v>
      </c>
      <c r="D81" s="26">
        <v>6</v>
      </c>
      <c r="E81" s="26">
        <v>8</v>
      </c>
      <c r="F81" s="4"/>
      <c r="G81" s="4"/>
      <c r="H81" s="4"/>
      <c r="I81" s="4"/>
      <c r="J81" s="4"/>
      <c r="K81" s="4"/>
      <c r="L81" s="4"/>
      <c r="M81" s="4"/>
    </row>
    <row r="82" spans="1:13" ht="18.75" x14ac:dyDescent="0.3">
      <c r="A82" s="82" t="s">
        <v>180</v>
      </c>
      <c r="B82" s="26">
        <v>13</v>
      </c>
      <c r="C82" s="26">
        <v>9</v>
      </c>
      <c r="D82" s="26">
        <v>9</v>
      </c>
      <c r="E82" s="26">
        <v>7</v>
      </c>
      <c r="F82" s="4"/>
      <c r="G82" s="4"/>
      <c r="H82" s="4"/>
      <c r="I82" s="4"/>
      <c r="J82" s="4"/>
      <c r="K82" s="4"/>
      <c r="L82" s="4"/>
      <c r="M82" s="4"/>
    </row>
    <row r="83" spans="1:13" ht="18.75" x14ac:dyDescent="0.3">
      <c r="A83" s="81" t="s">
        <v>181</v>
      </c>
      <c r="B83" s="26">
        <v>10</v>
      </c>
      <c r="C83" s="26">
        <v>8</v>
      </c>
      <c r="D83" s="26">
        <v>8</v>
      </c>
      <c r="E83" s="26">
        <v>7</v>
      </c>
      <c r="F83" s="4"/>
      <c r="G83" s="4"/>
      <c r="H83" s="4"/>
      <c r="I83" s="4"/>
      <c r="J83" s="4"/>
      <c r="K83" s="4"/>
      <c r="L83" s="4"/>
      <c r="M83" s="4"/>
    </row>
    <row r="84" spans="1:13" ht="18.75" x14ac:dyDescent="0.3">
      <c r="A84" s="82" t="s">
        <v>182</v>
      </c>
      <c r="B84" s="28">
        <v>10</v>
      </c>
      <c r="C84" s="28">
        <v>7</v>
      </c>
      <c r="D84" s="28">
        <v>5</v>
      </c>
      <c r="E84" s="28">
        <v>7</v>
      </c>
      <c r="F84" s="4"/>
      <c r="G84" s="4"/>
      <c r="H84" s="4"/>
      <c r="I84" s="4"/>
      <c r="J84" s="4"/>
      <c r="K84" s="4"/>
      <c r="L84" s="4"/>
      <c r="M84" s="4"/>
    </row>
    <row r="85" spans="1:13" ht="18.75" x14ac:dyDescent="0.3">
      <c r="A85" s="81" t="s">
        <v>183</v>
      </c>
      <c r="B85" s="26">
        <v>6</v>
      </c>
      <c r="C85" s="26">
        <v>8</v>
      </c>
      <c r="D85" s="26">
        <v>7</v>
      </c>
      <c r="E85" s="26">
        <v>6</v>
      </c>
      <c r="F85" s="4"/>
      <c r="G85" s="4"/>
      <c r="H85" s="4"/>
      <c r="I85" s="4"/>
      <c r="J85" s="4"/>
      <c r="K85" s="4"/>
      <c r="L85" s="4"/>
      <c r="M85" s="4"/>
    </row>
    <row r="86" spans="1:13" ht="18.75" x14ac:dyDescent="0.3">
      <c r="A86" s="82" t="s">
        <v>184</v>
      </c>
      <c r="B86" s="26">
        <v>6</v>
      </c>
      <c r="C86" s="26">
        <v>7</v>
      </c>
      <c r="D86" s="26">
        <v>6</v>
      </c>
      <c r="E86" s="26">
        <v>6</v>
      </c>
      <c r="F86" s="4"/>
      <c r="G86" s="4"/>
      <c r="H86" s="4"/>
      <c r="I86" s="4"/>
      <c r="J86" s="4"/>
      <c r="K86" s="4"/>
      <c r="L86" s="4"/>
      <c r="M86" s="4"/>
    </row>
    <row r="87" spans="1:13" ht="18.75" x14ac:dyDescent="0.3">
      <c r="A87" s="81" t="s">
        <v>185</v>
      </c>
      <c r="B87" s="26">
        <v>11</v>
      </c>
      <c r="C87" s="26">
        <v>11</v>
      </c>
      <c r="D87" s="26">
        <v>6</v>
      </c>
      <c r="E87" s="26">
        <v>6</v>
      </c>
      <c r="F87" s="4"/>
      <c r="G87" s="4"/>
      <c r="H87" s="4"/>
      <c r="I87" s="4"/>
      <c r="J87" s="4"/>
      <c r="K87" s="4"/>
      <c r="L87" s="4"/>
      <c r="M87" s="4"/>
    </row>
    <row r="88" spans="1:13" ht="19.5" thickBot="1" x14ac:dyDescent="0.35">
      <c r="A88" s="82" t="s">
        <v>186</v>
      </c>
      <c r="B88" s="28">
        <v>6</v>
      </c>
      <c r="C88" s="28">
        <v>6</v>
      </c>
      <c r="D88" s="28">
        <v>8</v>
      </c>
      <c r="E88" s="28">
        <v>6</v>
      </c>
      <c r="F88" s="4"/>
      <c r="G88" s="4"/>
      <c r="H88" s="4"/>
      <c r="I88" s="4"/>
      <c r="J88" s="4"/>
      <c r="K88" s="4"/>
      <c r="L88" s="4"/>
      <c r="M88" s="4"/>
    </row>
    <row r="89" spans="1:13" ht="18.75" x14ac:dyDescent="0.3">
      <c r="A89" s="83" t="s">
        <v>63</v>
      </c>
      <c r="B89" s="84">
        <f>AVERAGE(B77:B88)</f>
        <v>8.8333333333333339</v>
      </c>
      <c r="C89" s="85">
        <f t="shared" ref="C89:E89" si="1">AVERAGE(C77:C88)</f>
        <v>7.666666666666667</v>
      </c>
      <c r="D89" s="84">
        <f t="shared" si="1"/>
        <v>7.083333333333333</v>
      </c>
      <c r="E89" s="86">
        <f t="shared" si="1"/>
        <v>7.416666666666667</v>
      </c>
    </row>
    <row r="90" spans="1:13" ht="19.5" thickBot="1" x14ac:dyDescent="0.35">
      <c r="A90" s="87" t="s">
        <v>88</v>
      </c>
      <c r="B90" s="88">
        <f>_xlfn.STDEV.P(B77:B88)</f>
        <v>2.3746344747958346</v>
      </c>
      <c r="C90" s="89">
        <f t="shared" ref="C90:E90" si="2">_xlfn.STDEV.P(C77:C88)</f>
        <v>1.4907119849998598</v>
      </c>
      <c r="D90" s="88">
        <f t="shared" si="2"/>
        <v>1.2555432644432802</v>
      </c>
      <c r="E90" s="90">
        <f t="shared" si="2"/>
        <v>1.3202482931462383</v>
      </c>
    </row>
  </sheetData>
  <mergeCells count="7">
    <mergeCell ref="A76:E76"/>
    <mergeCell ref="I22:I23"/>
    <mergeCell ref="I7:L8"/>
    <mergeCell ref="I10:I11"/>
    <mergeCell ref="I12:I13"/>
    <mergeCell ref="I17:L18"/>
    <mergeCell ref="I20:I2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Survey Questions</vt:lpstr>
      <vt:lpstr>Written Feedback</vt:lpstr>
      <vt:lpstr>Game Score</vt:lpstr>
      <vt:lpstr>Paper 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2026-06-15T18:49:59Z</cp:lastPrinted>
  <dcterms:created xsi:type="dcterms:W3CDTF">2015-06-05T18:17:20Z</dcterms:created>
  <dcterms:modified xsi:type="dcterms:W3CDTF">2026-10-27T07:33:11Z</dcterms:modified>
</cp:coreProperties>
</file>